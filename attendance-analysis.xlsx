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iara\Downloads\"/>
    </mc:Choice>
  </mc:AlternateContent>
  <xr:revisionPtr revIDLastSave="0" documentId="13_ncr:1_{1C58A8FF-7433-42D1-8A42-E6F54B83EB72}" xr6:coauthVersionLast="47" xr6:coauthVersionMax="47" xr10:uidLastSave="{00000000-0000-0000-0000-000000000000}"/>
  <bookViews>
    <workbookView xWindow="9510" yWindow="0" windowWidth="9780" windowHeight="10170" firstSheet="2" activeTab="3" xr2:uid="{00000000-000D-0000-FFFF-FFFF00000000}"/>
  </bookViews>
  <sheets>
    <sheet name="Sheet2" sheetId="4" r:id="rId1"/>
    <sheet name="Sheet3" sheetId="5" r:id="rId2"/>
    <sheet name="Sheet4" sheetId="6" r:id="rId3"/>
    <sheet name="Dahboard" sheetId="7" r:id="rId4"/>
    <sheet name="Raw Data (2)" sheetId="3" r:id="rId5"/>
    <sheet name="Tugas" sheetId="2" r:id="rId6"/>
    <sheet name="Raw Data" sheetId="1" r:id="rId7"/>
  </sheets>
  <definedNames>
    <definedName name="_xlnm._FilterDatabase" localSheetId="6" hidden="1">'Raw Data'!$N$1:$N$185</definedName>
    <definedName name="_xlnm._FilterDatabase" localSheetId="4" hidden="1">'Raw Data (2)'!$A$1:$I$181</definedName>
  </definedNames>
  <calcPr calcId="191029"/>
  <pivotCaches>
    <pivotCache cacheId="6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7" l="1"/>
  <c r="I8" i="7"/>
  <c r="I4" i="7"/>
  <c r="E8" i="7"/>
  <c r="E4" i="7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2" i="1"/>
  <c r="D182" i="1"/>
  <c r="F182" i="1"/>
  <c r="K182" i="1"/>
  <c r="D183" i="1"/>
  <c r="F183" i="1"/>
  <c r="K183" i="1"/>
  <c r="D184" i="1"/>
  <c r="F184" i="1"/>
  <c r="K184" i="1"/>
  <c r="D185" i="1"/>
  <c r="F185" i="1"/>
  <c r="K185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2" i="1"/>
</calcChain>
</file>

<file path=xl/sharedStrings.xml><?xml version="1.0" encoding="utf-8"?>
<sst xmlns="http://schemas.openxmlformats.org/spreadsheetml/2006/main" count="1956" uniqueCount="279">
  <si>
    <t>Attendance ID</t>
  </si>
  <si>
    <t>Employee ID</t>
  </si>
  <si>
    <t>Employee Name</t>
  </si>
  <si>
    <t>Department</t>
  </si>
  <si>
    <t>Date</t>
  </si>
  <si>
    <t>Check-in</t>
  </si>
  <si>
    <t>Check-out</t>
  </si>
  <si>
    <t>Status</t>
  </si>
  <si>
    <t>Notes</t>
  </si>
  <si>
    <t>ATT-0001</t>
  </si>
  <si>
    <t>EMP011</t>
  </si>
  <si>
    <t>Kirana Dewi</t>
  </si>
  <si>
    <t>Operations</t>
  </si>
  <si>
    <t>Present</t>
  </si>
  <si>
    <t>ATT-0002</t>
  </si>
  <si>
    <t>EMP003</t>
  </si>
  <si>
    <t>Citra Lestari</t>
  </si>
  <si>
    <t>HR</t>
  </si>
  <si>
    <t>ATT-0003</t>
  </si>
  <si>
    <t>EMP007</t>
  </si>
  <si>
    <t>Gita Maharani</t>
  </si>
  <si>
    <t>Finance</t>
  </si>
  <si>
    <t>ATT-0004</t>
  </si>
  <si>
    <t>EMP009</t>
  </si>
  <si>
    <t>Intan Permata</t>
  </si>
  <si>
    <t xml:space="preserve"> sales </t>
  </si>
  <si>
    <t xml:space="preserve"> PRESENT </t>
  </si>
  <si>
    <t>ATT-0005</t>
  </si>
  <si>
    <t>Absent</t>
  </si>
  <si>
    <t>Family matter</t>
  </si>
  <si>
    <t>ATT-0006</t>
  </si>
  <si>
    <t>EMP004</t>
  </si>
  <si>
    <t>Dimas Saputra</t>
  </si>
  <si>
    <t>IT</t>
  </si>
  <si>
    <t>ATT-0007</t>
  </si>
  <si>
    <t>EMP001</t>
  </si>
  <si>
    <t>Alya Putri</t>
  </si>
  <si>
    <t>Sick</t>
  </si>
  <si>
    <t>ATT-0008</t>
  </si>
  <si>
    <t>EMP012</t>
  </si>
  <si>
    <t>Lukman Hakim</t>
  </si>
  <si>
    <t>ATT-0009</t>
  </si>
  <si>
    <t>EMP006</t>
  </si>
  <si>
    <t>Farhan Akbar</t>
  </si>
  <si>
    <t>ATT-0010</t>
  </si>
  <si>
    <t>ATT-0011</t>
  </si>
  <si>
    <t>EMP002</t>
  </si>
  <si>
    <t>Bima Pratama</t>
  </si>
  <si>
    <t>Late</t>
  </si>
  <si>
    <t>ATT-0012</t>
  </si>
  <si>
    <t>EMP010</t>
  </si>
  <si>
    <t>Joko Santoso</t>
  </si>
  <si>
    <t xml:space="preserve"> hr </t>
  </si>
  <si>
    <t>ATT-0013</t>
  </si>
  <si>
    <t>Leave</t>
  </si>
  <si>
    <t>ATT-0014</t>
  </si>
  <si>
    <t xml:space="preserve"> finance </t>
  </si>
  <si>
    <t>ATT-0015</t>
  </si>
  <si>
    <t>ATT-0016</t>
  </si>
  <si>
    <t>ATT-0017</t>
  </si>
  <si>
    <t>ATT-0018</t>
  </si>
  <si>
    <t>ATT-0019</t>
  </si>
  <si>
    <t>Sales</t>
  </si>
  <si>
    <t>ATT-0020</t>
  </si>
  <si>
    <t>EMP005</t>
  </si>
  <si>
    <t>Eka Wulandari</t>
  </si>
  <si>
    <t>Doctor appointment</t>
  </si>
  <si>
    <t>ATT-0021</t>
  </si>
  <si>
    <t>ATT-0022</t>
  </si>
  <si>
    <t>ATT-0023</t>
  </si>
  <si>
    <t>ATT-0024</t>
  </si>
  <si>
    <t>ATT-0025</t>
  </si>
  <si>
    <t>EMP008</t>
  </si>
  <si>
    <t>Hadi Wijaya</t>
  </si>
  <si>
    <t>ATT-0026</t>
  </si>
  <si>
    <t xml:space="preserve">  INTAN PERMATA  </t>
  </si>
  <si>
    <t>ATT-0027</t>
  </si>
  <si>
    <t>ATT-0028</t>
  </si>
  <si>
    <t>ATT-0029</t>
  </si>
  <si>
    <t>ATT-0030</t>
  </si>
  <si>
    <t>ATT-0031</t>
  </si>
  <si>
    <t>ATT-0032</t>
  </si>
  <si>
    <t>ATT-0033</t>
  </si>
  <si>
    <t xml:space="preserve"> operations </t>
  </si>
  <si>
    <t xml:space="preserve"> LATE </t>
  </si>
  <si>
    <t>ATT-0034</t>
  </si>
  <si>
    <t>ATT-0035</t>
  </si>
  <si>
    <t>ATT-0036</t>
  </si>
  <si>
    <t>ATT-0037</t>
  </si>
  <si>
    <t>ATT-0038</t>
  </si>
  <si>
    <t>ATT-0039</t>
  </si>
  <si>
    <t>ATT-0040</t>
  </si>
  <si>
    <t>ATT-0041</t>
  </si>
  <si>
    <t>ATT-0042</t>
  </si>
  <si>
    <t>ATT-0043</t>
  </si>
  <si>
    <t>ATT-0044</t>
  </si>
  <si>
    <t>ATT-0045</t>
  </si>
  <si>
    <t>ATT-0046</t>
  </si>
  <si>
    <t xml:space="preserve">  BIMA PRATAMA  </t>
  </si>
  <si>
    <t>ATT-0047</t>
  </si>
  <si>
    <t>ATT-0048</t>
  </si>
  <si>
    <t>ATT-0049</t>
  </si>
  <si>
    <t>ATT-0050</t>
  </si>
  <si>
    <t xml:space="preserve">  DIMAS SAPUTRA  </t>
  </si>
  <si>
    <t>ATT-0051</t>
  </si>
  <si>
    <t>ATT-0052</t>
  </si>
  <si>
    <t>ATT-0053</t>
  </si>
  <si>
    <t>ATT-0054</t>
  </si>
  <si>
    <t>ATT-0055</t>
  </si>
  <si>
    <t>ATT-0056</t>
  </si>
  <si>
    <t>ATT-0057</t>
  </si>
  <si>
    <t>ATT-0058</t>
  </si>
  <si>
    <t>28/09/2026</t>
  </si>
  <si>
    <t>Transport issue</t>
  </si>
  <si>
    <t>ATT-0059</t>
  </si>
  <si>
    <t>ATT-0060</t>
  </si>
  <si>
    <t>ATT-0061</t>
  </si>
  <si>
    <t>ATT-0062</t>
  </si>
  <si>
    <t>ATT-0063</t>
  </si>
  <si>
    <t>ATT-0064</t>
  </si>
  <si>
    <t>ATT-0065</t>
  </si>
  <si>
    <t>ATT-0066</t>
  </si>
  <si>
    <t>ATT-0067</t>
  </si>
  <si>
    <t>ATT-0068</t>
  </si>
  <si>
    <t>ATT-0069</t>
  </si>
  <si>
    <t>ATT-0070</t>
  </si>
  <si>
    <t>ATT-0071</t>
  </si>
  <si>
    <t xml:space="preserve"> it </t>
  </si>
  <si>
    <t>ATT-0072</t>
  </si>
  <si>
    <t>ATT-0073</t>
  </si>
  <si>
    <t>ATT-0074</t>
  </si>
  <si>
    <t>ATT-0075</t>
  </si>
  <si>
    <t>ATT-0076</t>
  </si>
  <si>
    <t>ATT-0077</t>
  </si>
  <si>
    <t>ATT-0078</t>
  </si>
  <si>
    <t xml:space="preserve">  LUKMAN HAKIM  </t>
  </si>
  <si>
    <t>ATT-0079</t>
  </si>
  <si>
    <t>ATT-0080</t>
  </si>
  <si>
    <t>ATT-0081</t>
  </si>
  <si>
    <t>ATT-0082</t>
  </si>
  <si>
    <t>ATT-0083</t>
  </si>
  <si>
    <t>ATT-0084</t>
  </si>
  <si>
    <t>ATT-0085</t>
  </si>
  <si>
    <t>ATT-0086</t>
  </si>
  <si>
    <t>ATT-0087</t>
  </si>
  <si>
    <t>ATT-0088</t>
  </si>
  <si>
    <t>ATT-0089</t>
  </si>
  <si>
    <t>ATT-0090</t>
  </si>
  <si>
    <t>ATT-0091</t>
  </si>
  <si>
    <t>ATT-0092</t>
  </si>
  <si>
    <t>ATT-0093</t>
  </si>
  <si>
    <t xml:space="preserve">  KIRANA DEWI  </t>
  </si>
  <si>
    <t>ATT-0094</t>
  </si>
  <si>
    <t>ATT-0095</t>
  </si>
  <si>
    <t>ATT-0096</t>
  </si>
  <si>
    <t>ATT-0097</t>
  </si>
  <si>
    <t>ATT-0098</t>
  </si>
  <si>
    <t>08/09/2026</t>
  </si>
  <si>
    <t>ATT-0099</t>
  </si>
  <si>
    <t>ATT-0100</t>
  </si>
  <si>
    <t>ATT-0101</t>
  </si>
  <si>
    <t>ATT-0102</t>
  </si>
  <si>
    <t>ATT-0103</t>
  </si>
  <si>
    <t>ATT-0104</t>
  </si>
  <si>
    <t>ATT-0105</t>
  </si>
  <si>
    <t>ATT-0106</t>
  </si>
  <si>
    <t>ATT-0107</t>
  </si>
  <si>
    <t>17/09/2026</t>
  </si>
  <si>
    <t>ATT-0108</t>
  </si>
  <si>
    <t>ATT-0109</t>
  </si>
  <si>
    <t>ATT-0110</t>
  </si>
  <si>
    <t>ATT-0111</t>
  </si>
  <si>
    <t>ATT-0112</t>
  </si>
  <si>
    <t>ATT-0113</t>
  </si>
  <si>
    <t>ATT-0114</t>
  </si>
  <si>
    <t>18/09/2026</t>
  </si>
  <si>
    <t>ATT-0115</t>
  </si>
  <si>
    <t>ATT-0116</t>
  </si>
  <si>
    <t>11/09/2026</t>
  </si>
  <si>
    <t>ATT-0117</t>
  </si>
  <si>
    <t>ATT-0118</t>
  </si>
  <si>
    <t>ATT-0119</t>
  </si>
  <si>
    <t>ATT-0120</t>
  </si>
  <si>
    <t>ATT-0121</t>
  </si>
  <si>
    <t>ATT-0122</t>
  </si>
  <si>
    <t>ATT-0123</t>
  </si>
  <si>
    <t>ATT-0124</t>
  </si>
  <si>
    <t xml:space="preserve">  ALYA PUTRI  </t>
  </si>
  <si>
    <t>ATT-0125</t>
  </si>
  <si>
    <t>ATT-0126</t>
  </si>
  <si>
    <t xml:space="preserve"> SICK </t>
  </si>
  <si>
    <t>ATT-0127</t>
  </si>
  <si>
    <t>ATT-0128</t>
  </si>
  <si>
    <t>ATT-0129</t>
  </si>
  <si>
    <t>ATT-0130</t>
  </si>
  <si>
    <t>ATT-0131</t>
  </si>
  <si>
    <t>ATT-0132</t>
  </si>
  <si>
    <t>ATT-0133</t>
  </si>
  <si>
    <t>ATT-0134</t>
  </si>
  <si>
    <t>ATT-0135</t>
  </si>
  <si>
    <t xml:space="preserve">  CITRA LESTARI  </t>
  </si>
  <si>
    <t>ATT-0136</t>
  </si>
  <si>
    <t>ATT-0137</t>
  </si>
  <si>
    <t>ATT-0138</t>
  </si>
  <si>
    <t>ATT-0139</t>
  </si>
  <si>
    <t>ATT-0140</t>
  </si>
  <si>
    <t>ATT-0141</t>
  </si>
  <si>
    <t>ATT-0142</t>
  </si>
  <si>
    <t>ATT-0143</t>
  </si>
  <si>
    <t>ATT-0144</t>
  </si>
  <si>
    <t>ATT-0145</t>
  </si>
  <si>
    <t>ATT-0146</t>
  </si>
  <si>
    <t>ATT-0147</t>
  </si>
  <si>
    <t>ATT-0148</t>
  </si>
  <si>
    <t>ATT-0149</t>
  </si>
  <si>
    <t>ATT-0150</t>
  </si>
  <si>
    <t>ATT-0151</t>
  </si>
  <si>
    <t>ATT-0152</t>
  </si>
  <si>
    <t>ATT-0153</t>
  </si>
  <si>
    <t>07/09/2026</t>
  </si>
  <si>
    <t>ATT-0154</t>
  </si>
  <si>
    <t>ATT-0155</t>
  </si>
  <si>
    <t>ATT-0156</t>
  </si>
  <si>
    <t>ATT-0157</t>
  </si>
  <si>
    <t>ATT-0158</t>
  </si>
  <si>
    <t>ATT-0159</t>
  </si>
  <si>
    <t>23/09/2026</t>
  </si>
  <si>
    <t>ATT-0160</t>
  </si>
  <si>
    <t>ATT-0161</t>
  </si>
  <si>
    <t>ATT-0162</t>
  </si>
  <si>
    <t>ATT-0163</t>
  </si>
  <si>
    <t>ATT-0164</t>
  </si>
  <si>
    <t xml:space="preserve"> LEAVE </t>
  </si>
  <si>
    <t>ATT-0165</t>
  </si>
  <si>
    <t>ATT-0166</t>
  </si>
  <si>
    <t>ATT-0167</t>
  </si>
  <si>
    <t>ATT-0168</t>
  </si>
  <si>
    <t>ATT-0169</t>
  </si>
  <si>
    <t>ATT-0170</t>
  </si>
  <si>
    <t>ATT-0171</t>
  </si>
  <si>
    <t>ATT-0172</t>
  </si>
  <si>
    <t>ATT-0173</t>
  </si>
  <si>
    <t>ATT-0174</t>
  </si>
  <si>
    <t>ATT-0175</t>
  </si>
  <si>
    <t>ATT-0176</t>
  </si>
  <si>
    <t>ATT-0177</t>
  </si>
  <si>
    <t>ATT-0178</t>
  </si>
  <si>
    <t>ATT-0179</t>
  </si>
  <si>
    <t>ATT-0180</t>
  </si>
  <si>
    <t>No</t>
  </si>
  <si>
    <t>Tugas</t>
  </si>
  <si>
    <t>Rapikan Employee Name (hapus spasi berlebih dan kapitalisasi nama).</t>
  </si>
  <si>
    <t>Rapikan Department dan Status agar format konsisten.</t>
  </si>
  <si>
    <t>Periksa Employee ID yang kosong; jangan mengarang ID.</t>
  </si>
  <si>
    <t>Temukan dan periksa baris duplikat sebelum menghapusnya.</t>
  </si>
  <si>
    <t>Pastikan kolom Date dan Check-in memiliki tipe data yang konsisten.</t>
  </si>
  <si>
    <t>Buat kolom Attendance Flag: Present/Late/Absent/Leave/Sick.</t>
  </si>
  <si>
    <t>Buat ringkasan jumlah kehadiran per Department dan Status.</t>
  </si>
  <si>
    <t>Validasi data dan catat keputusan cleaning yang kamu ambil.</t>
  </si>
  <si>
    <t>Clean Employee Name</t>
  </si>
  <si>
    <t>Clean Department</t>
  </si>
  <si>
    <t>Clean Status</t>
  </si>
  <si>
    <t>Employee ID yang kosong ditemukan dan ditandai untuk verifikasi. Nilai tidak diisi secara manual tanpa sumber yang valid.</t>
  </si>
  <si>
    <t>Duplicate Check</t>
  </si>
  <si>
    <t>Count of Attendance ID</t>
  </si>
  <si>
    <t>Row Labels</t>
  </si>
  <si>
    <t>Grand Total</t>
  </si>
  <si>
    <t>Column Labels</t>
  </si>
  <si>
    <t>EMPLOYEE ATTENDANCE DASHBOARD</t>
  </si>
  <si>
    <t>TOTAL RECORDS</t>
  </si>
  <si>
    <t>Attendance Records</t>
  </si>
  <si>
    <t>PRESENT</t>
  </si>
  <si>
    <t>Present Records</t>
  </si>
  <si>
    <t>LATE</t>
  </si>
  <si>
    <t>Late Records</t>
  </si>
  <si>
    <t>ABSENT</t>
  </si>
  <si>
    <t>Absent Records</t>
  </si>
  <si>
    <t>LATE RATE</t>
  </si>
  <si>
    <t>Percentage of Attendance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</si>
</sst>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14" fontId="0" fillId="0" borderId="0" xfId="0" applyNumberFormat="1"/>
    <xf numFmtId="0" fontId="3" fillId="0" borderId="3" xfId="0" applyFont="1" applyFill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14" fontId="1" fillId="0" borderId="4" xfId="0" applyNumberFormat="1" applyFont="1" applyBorder="1" applyAlignment="1">
      <alignment horizontal="center" vertical="top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6" fillId="2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6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5" fillId="0" borderId="0" xfId="0" applyFont="1" applyAlignment="1"/>
    <xf numFmtId="0" fontId="7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10" fontId="7" fillId="6" borderId="0" xfId="1" applyNumberFormat="1" applyFont="1" applyFill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dd/mm/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[Latihan_Excel_Absensi_Karyawan.xlsx]Sheet4!PivotTable3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Attendance Status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Sheet4!$B$1:$B$2</c:f>
              <c:strCache>
                <c:ptCount val="1"/>
                <c:pt idx="0">
                  <c:v>Absent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Sheet4!$A$3:$A$8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Operations</c:v>
                </c:pt>
                <c:pt idx="4">
                  <c:v>Sales</c:v>
                </c:pt>
              </c:strCache>
            </c:strRef>
          </c:cat>
          <c:val>
            <c:numRef>
              <c:f>Sheet4!$B$3:$B$8</c:f>
              <c:numCache>
                <c:formatCode>General</c:formatCode>
                <c:ptCount val="5"/>
                <c:pt idx="0">
                  <c:v>5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4E-451F-95F6-A2AB48A39E90}"/>
            </c:ext>
          </c:extLst>
        </c:ser>
        <c:ser>
          <c:idx val="1"/>
          <c:order val="1"/>
          <c:tx>
            <c:strRef>
              <c:f>Sheet4!$C$1:$C$2</c:f>
              <c:strCache>
                <c:ptCount val="1"/>
                <c:pt idx="0">
                  <c:v>Late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Sheet4!$A$3:$A$8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Operations</c:v>
                </c:pt>
                <c:pt idx="4">
                  <c:v>Sales</c:v>
                </c:pt>
              </c:strCache>
            </c:strRef>
          </c:cat>
          <c:val>
            <c:numRef>
              <c:f>Sheet4!$C$3:$C$8</c:f>
              <c:numCache>
                <c:formatCode>General</c:formatCode>
                <c:ptCount val="5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12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4E-451F-95F6-A2AB48A39E90}"/>
            </c:ext>
          </c:extLst>
        </c:ser>
        <c:ser>
          <c:idx val="2"/>
          <c:order val="2"/>
          <c:tx>
            <c:strRef>
              <c:f>Sheet4!$D$1:$D$2</c:f>
              <c:strCache>
                <c:ptCount val="1"/>
                <c:pt idx="0">
                  <c:v>Leave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Sheet4!$A$3:$A$8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Operations</c:v>
                </c:pt>
                <c:pt idx="4">
                  <c:v>Sales</c:v>
                </c:pt>
              </c:strCache>
            </c:strRef>
          </c:cat>
          <c:val>
            <c:numRef>
              <c:f>Sheet4!$D$3:$D$8</c:f>
              <c:numCache>
                <c:formatCode>General</c:formatCode>
                <c:ptCount val="5"/>
                <c:pt idx="0">
                  <c:v>9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4E-451F-95F6-A2AB48A39E90}"/>
            </c:ext>
          </c:extLst>
        </c:ser>
        <c:ser>
          <c:idx val="3"/>
          <c:order val="3"/>
          <c:tx>
            <c:strRef>
              <c:f>Sheet4!$E$1:$E$2</c:f>
              <c:strCache>
                <c:ptCount val="1"/>
                <c:pt idx="0">
                  <c:v>Present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Sheet4!$A$3:$A$8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Operations</c:v>
                </c:pt>
                <c:pt idx="4">
                  <c:v>Sales</c:v>
                </c:pt>
              </c:strCache>
            </c:strRef>
          </c:cat>
          <c:val>
            <c:numRef>
              <c:f>Sheet4!$E$3:$E$8</c:f>
              <c:numCache>
                <c:formatCode>General</c:formatCode>
                <c:ptCount val="5"/>
                <c:pt idx="0">
                  <c:v>17</c:v>
                </c:pt>
                <c:pt idx="1">
                  <c:v>15</c:v>
                </c:pt>
                <c:pt idx="2">
                  <c:v>13</c:v>
                </c:pt>
                <c:pt idx="3">
                  <c:v>21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4E-451F-95F6-A2AB48A39E90}"/>
            </c:ext>
          </c:extLst>
        </c:ser>
        <c:ser>
          <c:idx val="4"/>
          <c:order val="4"/>
          <c:tx>
            <c:strRef>
              <c:f>Sheet4!$F$1:$F$2</c:f>
              <c:strCache>
                <c:ptCount val="1"/>
                <c:pt idx="0">
                  <c:v>Sick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Sheet4!$A$3:$A$8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Operations</c:v>
                </c:pt>
                <c:pt idx="4">
                  <c:v>Sales</c:v>
                </c:pt>
              </c:strCache>
            </c:strRef>
          </c:cat>
          <c:val>
            <c:numRef>
              <c:f>Sheet4!$F$3:$F$8</c:f>
              <c:numCache>
                <c:formatCode>General</c:formatCode>
                <c:ptCount val="5"/>
                <c:pt idx="0">
                  <c:v>9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4E-451F-95F6-A2AB48A39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6474304"/>
        <c:axId val="336608496"/>
      </c:barChart>
      <c:catAx>
        <c:axId val="59647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36608496"/>
        <c:crosses val="autoZero"/>
        <c:auto val="1"/>
        <c:lblAlgn val="ctr"/>
        <c:lblOffset val="100"/>
        <c:noMultiLvlLbl val="0"/>
      </c:catAx>
      <c:valAx>
        <c:axId val="33660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9647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[Latihan_Excel_Absensi_Karyawan.xlsx]Sheet3!PivotTable2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Attendance Records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Sheet3!$A$2:$A$7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Operations</c:v>
                </c:pt>
                <c:pt idx="4">
                  <c:v>Sales</c:v>
                </c:pt>
              </c:strCache>
            </c:strRef>
          </c:cat>
          <c:val>
            <c:numRef>
              <c:f>Sheet3!$B$2:$B$7</c:f>
              <c:numCache>
                <c:formatCode>General</c:formatCode>
                <c:ptCount val="5"/>
                <c:pt idx="0">
                  <c:v>43</c:v>
                </c:pt>
                <c:pt idx="1">
                  <c:v>24</c:v>
                </c:pt>
                <c:pt idx="2">
                  <c:v>29</c:v>
                </c:pt>
                <c:pt idx="3">
                  <c:v>46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F-420F-8F45-5A61D9AE8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3149488"/>
        <c:axId val="336714096"/>
      </c:barChart>
      <c:catAx>
        <c:axId val="54314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36714096"/>
        <c:crosses val="autoZero"/>
        <c:auto val="1"/>
        <c:lblAlgn val="ctr"/>
        <c:lblOffset val="100"/>
        <c:noMultiLvlLbl val="0"/>
      </c:catAx>
      <c:valAx>
        <c:axId val="33671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4314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[Latihan_Excel_Absensi_Karyawan.xlsx]Sheet2!PivotTable1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Attendance</a:t>
            </a:r>
            <a:r>
              <a:rPr lang="id-ID" baseline="0"/>
              <a:t> Records by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Sheet2!$A$2:$A$7</c:f>
              <c:strCache>
                <c:ptCount val="5"/>
                <c:pt idx="0">
                  <c:v>Absent</c:v>
                </c:pt>
                <c:pt idx="1">
                  <c:v>Late</c:v>
                </c:pt>
                <c:pt idx="2">
                  <c:v>Leave</c:v>
                </c:pt>
                <c:pt idx="3">
                  <c:v>Present</c:v>
                </c:pt>
                <c:pt idx="4">
                  <c:v>Sick</c:v>
                </c:pt>
              </c:strCache>
            </c:strRef>
          </c:cat>
          <c:val>
            <c:numRef>
              <c:f>Sheet2!$B$2:$B$7</c:f>
              <c:numCache>
                <c:formatCode>General</c:formatCode>
                <c:ptCount val="5"/>
                <c:pt idx="0">
                  <c:v>23</c:v>
                </c:pt>
                <c:pt idx="1">
                  <c:v>25</c:v>
                </c:pt>
                <c:pt idx="2">
                  <c:v>32</c:v>
                </c:pt>
                <c:pt idx="3">
                  <c:v>80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90-42FF-8E6F-4B6905BEB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7635120"/>
        <c:axId val="336705456"/>
      </c:barChart>
      <c:catAx>
        <c:axId val="58763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36705456"/>
        <c:crosses val="autoZero"/>
        <c:auto val="1"/>
        <c:lblAlgn val="ctr"/>
        <c:lblOffset val="100"/>
        <c:noMultiLvlLbl val="0"/>
      </c:catAx>
      <c:valAx>
        <c:axId val="33670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8763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28865</xdr:colOff>
      <xdr:row>16</xdr:row>
      <xdr:rowOff>140988</xdr:rowOff>
    </xdr:from>
    <xdr:to>
      <xdr:col>7</xdr:col>
      <xdr:colOff>0</xdr:colOff>
      <xdr:row>32</xdr:row>
      <xdr:rowOff>5181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B94220-9D0A-4CC0-A181-08E304A532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260143</xdr:colOff>
      <xdr:row>16</xdr:row>
      <xdr:rowOff>122853</xdr:rowOff>
    </xdr:from>
    <xdr:to>
      <xdr:col>15</xdr:col>
      <xdr:colOff>76229</xdr:colOff>
      <xdr:row>31</xdr:row>
      <xdr:rowOff>122854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AB1DF2-F370-4CBD-87E7-D91332E2B0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486168</xdr:colOff>
      <xdr:row>32</xdr:row>
      <xdr:rowOff>145872</xdr:rowOff>
    </xdr:from>
    <xdr:to>
      <xdr:col>11</xdr:col>
      <xdr:colOff>170295</xdr:colOff>
      <xdr:row>47</xdr:row>
      <xdr:rowOff>88560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230C11-2300-41B6-A65E-1AAB08AE7B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ara" refreshedDate="46324.702256481483" createdVersion="8" refreshedVersion="8" minRefreshableVersion="3" recordCount="180" xr:uid="{2FB89634-67F4-4D62-ADB6-F6241D42F611}">
  <cacheSource type="worksheet">
    <worksheetSource name="tb1Absensi"/>
  </cacheSource>
  <cacheFields count="9">
    <cacheField name="Attendance ID" numFmtId="0">
      <sharedItems/>
    </cacheField>
    <cacheField name="Employee ID" numFmtId="0">
      <sharedItems containsBlank="1"/>
    </cacheField>
    <cacheField name="Clean Employee Name" numFmtId="0">
      <sharedItems/>
    </cacheField>
    <cacheField name="Clean Department" numFmtId="0">
      <sharedItems count="5">
        <s v="Operations"/>
        <s v="HR"/>
        <s v="Finance"/>
        <s v="Sales"/>
        <s v="IT"/>
      </sharedItems>
    </cacheField>
    <cacheField name="Date" numFmtId="14">
      <sharedItems containsSemiMixedTypes="0" containsNonDate="0" containsDate="1" containsString="0" minDate="2026-09-01T00:00:00" maxDate="2026-10-01T00:00:00"/>
    </cacheField>
    <cacheField name="Check-in" numFmtId="0">
      <sharedItems containsNonDate="0" containsDate="1" containsString="0" containsBlank="1" minDate="2026-09-01T08:01:00" maxDate="2026-10-29T09:25:00"/>
    </cacheField>
    <cacheField name="Check-out" numFmtId="0">
      <sharedItems containsNonDate="0" containsDate="1" containsString="0" containsBlank="1" minDate="2026-09-01T16:16:00" maxDate="2026-09-30T16:51:00"/>
    </cacheField>
    <cacheField name="Clean Status" numFmtId="0">
      <sharedItems count="5">
        <s v="Present"/>
        <s v="Absent"/>
        <s v="Sick"/>
        <s v="Late"/>
        <s v="Leave"/>
      </sharedItems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s v="ATT-0001"/>
    <s v="EMP011"/>
    <s v="Kirana Dewi"/>
    <x v="0"/>
    <d v="2026-09-04T00:00:00"/>
    <d v="2026-09-04T08:05:00"/>
    <d v="2026-09-04T16:20:00"/>
    <x v="0"/>
    <m/>
  </r>
  <r>
    <s v="ATT-0002"/>
    <s v="EMP003"/>
    <s v="Citra Lestari"/>
    <x v="1"/>
    <d v="2026-09-24T00:00:00"/>
    <d v="2026-09-24T08:15:00"/>
    <d v="2026-09-24T16:20:00"/>
    <x v="0"/>
    <m/>
  </r>
  <r>
    <s v="ATT-0003"/>
    <s v="EMP007"/>
    <s v="Gita Maharani"/>
    <x v="2"/>
    <d v="2026-09-02T00:00:00"/>
    <d v="2026-09-02T08:00:00"/>
    <d v="2026-09-02T16:13:00"/>
    <x v="0"/>
    <m/>
  </r>
  <r>
    <s v="ATT-0004"/>
    <s v="EMP009"/>
    <s v="Intan Permata"/>
    <x v="3"/>
    <d v="2026-09-21T00:00:00"/>
    <d v="2026-09-21T08:15:00"/>
    <d v="2026-09-21T16:27:00"/>
    <x v="0"/>
    <m/>
  </r>
  <r>
    <s v="ATT-0005"/>
    <s v="EMP011"/>
    <s v="Kirana Dewi"/>
    <x v="0"/>
    <d v="2026-09-23T00:00:00"/>
    <m/>
    <m/>
    <x v="1"/>
    <s v="Family matter"/>
  </r>
  <r>
    <s v="ATT-0006"/>
    <s v="EMP004"/>
    <s v="Dimas Saputra"/>
    <x v="4"/>
    <d v="2026-09-15T00:00:00"/>
    <m/>
    <m/>
    <x v="1"/>
    <m/>
  </r>
  <r>
    <s v="ATT-0007"/>
    <s v="EMP001"/>
    <s v="Alya Putri"/>
    <x v="2"/>
    <d v="2026-09-25T00:00:00"/>
    <m/>
    <m/>
    <x v="2"/>
    <m/>
  </r>
  <r>
    <s v="ATT-0008"/>
    <s v="EMP012"/>
    <s v="Lukman Hakim"/>
    <x v="2"/>
    <d v="2026-09-14T00:00:00"/>
    <d v="2026-09-14T08:05:00"/>
    <d v="2026-09-14T16:14:00"/>
    <x v="0"/>
    <m/>
  </r>
  <r>
    <s v="ATT-0009"/>
    <s v="EMP006"/>
    <s v="Farhan Akbar"/>
    <x v="0"/>
    <d v="2026-09-04T00:00:00"/>
    <d v="2026-09-04T08:10:00"/>
    <d v="2026-09-04T16:16:00"/>
    <x v="0"/>
    <m/>
  </r>
  <r>
    <s v="ATT-0010"/>
    <s v="EMP006"/>
    <s v="Farhan Akbar"/>
    <x v="0"/>
    <d v="2026-09-21T00:00:00"/>
    <d v="2026-09-21T08:00:00"/>
    <d v="2026-09-21T16:29:00"/>
    <x v="0"/>
    <m/>
  </r>
  <r>
    <s v="ATT-0011"/>
    <s v="EMP002"/>
    <s v="Bima Pratama"/>
    <x v="0"/>
    <d v="2026-09-30T00:00:00"/>
    <d v="2026-09-30T08:25:00"/>
    <d v="2026-09-30T16:51:00"/>
    <x v="3"/>
    <m/>
  </r>
  <r>
    <s v="ATT-0012"/>
    <s v="EMP010"/>
    <s v="Joko Santoso"/>
    <x v="1"/>
    <d v="2026-09-29T00:00:00"/>
    <m/>
    <m/>
    <x v="2"/>
    <m/>
  </r>
  <r>
    <s v="ATT-0013"/>
    <s v="EMP010"/>
    <s v="Joko Santoso"/>
    <x v="1"/>
    <d v="2026-09-07T00:00:00"/>
    <m/>
    <m/>
    <x v="4"/>
    <m/>
  </r>
  <r>
    <s v="ATT-0014"/>
    <s v="EMP001"/>
    <s v="Alya Putri"/>
    <x v="2"/>
    <d v="2026-09-22T00:00:00"/>
    <d v="2026-10-29T08:05:00"/>
    <d v="2026-09-22T16:10:00"/>
    <x v="0"/>
    <m/>
  </r>
  <r>
    <s v="ATT-0015"/>
    <s v="EMP002"/>
    <s v="Bima Pratama"/>
    <x v="0"/>
    <d v="2026-09-14T00:00:00"/>
    <d v="2026-09-14T08:10:00"/>
    <d v="2026-09-14T16:50:00"/>
    <x v="0"/>
    <m/>
  </r>
  <r>
    <s v="ATT-0016"/>
    <s v="EMP003"/>
    <s v="Citra Lestari"/>
    <x v="1"/>
    <d v="2026-09-14T00:00:00"/>
    <d v="2026-09-14T08:01:00"/>
    <d v="2026-09-14T16:43:00"/>
    <x v="0"/>
    <m/>
  </r>
  <r>
    <s v="ATT-0017"/>
    <s v="EMP012"/>
    <s v="Lukman Hakim"/>
    <x v="2"/>
    <d v="2026-09-30T00:00:00"/>
    <m/>
    <m/>
    <x v="4"/>
    <m/>
  </r>
  <r>
    <s v="ATT-0018"/>
    <s v="EMP002"/>
    <s v="Bima Pratama"/>
    <x v="0"/>
    <d v="2026-09-21T00:00:00"/>
    <m/>
    <m/>
    <x v="4"/>
    <m/>
  </r>
  <r>
    <s v="ATT-0019"/>
    <s v="EMP009"/>
    <s v="Intan Permata"/>
    <x v="3"/>
    <d v="2026-09-24T00:00:00"/>
    <d v="2026-10-29T08:01:00"/>
    <d v="2026-09-24T16:30:00"/>
    <x v="0"/>
    <m/>
  </r>
  <r>
    <s v="ATT-0020"/>
    <s v="EMP005"/>
    <s v="Eka Wulandari"/>
    <x v="3"/>
    <d v="2026-09-30T00:00:00"/>
    <m/>
    <m/>
    <x v="4"/>
    <s v="Doctor appointment"/>
  </r>
  <r>
    <s v="ATT-0021"/>
    <s v="EMP009"/>
    <s v="Intan Permata"/>
    <x v="3"/>
    <d v="2026-09-08T00:00:00"/>
    <m/>
    <m/>
    <x v="4"/>
    <m/>
  </r>
  <r>
    <s v="ATT-0022"/>
    <s v="EMP001"/>
    <s v="Alya Putri"/>
    <x v="2"/>
    <d v="2026-09-08T00:00:00"/>
    <m/>
    <m/>
    <x v="2"/>
    <m/>
  </r>
  <r>
    <s v="ATT-0023"/>
    <s v="EMP006"/>
    <s v="Farhan Akbar"/>
    <x v="0"/>
    <d v="2026-09-14T00:00:00"/>
    <d v="2026-09-14T08:00:00"/>
    <d v="2026-09-14T16:13:00"/>
    <x v="0"/>
    <m/>
  </r>
  <r>
    <s v="ATT-0024"/>
    <s v="EMP012"/>
    <s v="Lukman Hakim"/>
    <x v="2"/>
    <d v="2026-09-11T00:00:00"/>
    <d v="2026-09-11T08:10:00"/>
    <d v="2026-09-11T16:35:00"/>
    <x v="0"/>
    <m/>
  </r>
  <r>
    <s v="ATT-0025"/>
    <s v="EMP008"/>
    <s v="Hadi Wijaya"/>
    <x v="4"/>
    <d v="2026-09-07T00:00:00"/>
    <d v="2026-09-07T08:01:00"/>
    <d v="2026-09-07T16:16:00"/>
    <x v="0"/>
    <m/>
  </r>
  <r>
    <s v="ATT-0026"/>
    <s v="EMP009"/>
    <s v="Intan Permata"/>
    <x v="3"/>
    <d v="2026-09-18T00:00:00"/>
    <d v="2026-09-18T08:15:00"/>
    <d v="2026-09-18T16:42:00"/>
    <x v="0"/>
    <m/>
  </r>
  <r>
    <s v="ATT-0027"/>
    <s v="EMP007"/>
    <s v="Gita Maharani"/>
    <x v="2"/>
    <d v="2026-09-14T00:00:00"/>
    <d v="2026-09-14T08:01:00"/>
    <d v="2026-09-14T16:33:00"/>
    <x v="0"/>
    <m/>
  </r>
  <r>
    <s v="ATT-0028"/>
    <s v="EMP002"/>
    <s v="Bima Pratama"/>
    <x v="0"/>
    <d v="2026-09-25T00:00:00"/>
    <d v="2026-09-25T08:00:00"/>
    <d v="2026-09-25T16:09:00"/>
    <x v="0"/>
    <m/>
  </r>
  <r>
    <s v="ATT-0029"/>
    <s v="EMP003"/>
    <s v="Citra Lestari"/>
    <x v="1"/>
    <d v="2026-09-28T00:00:00"/>
    <m/>
    <m/>
    <x v="4"/>
    <s v="Family matter"/>
  </r>
  <r>
    <s v="ATT-0030"/>
    <s v="EMP010"/>
    <s v="Joko Santoso"/>
    <x v="1"/>
    <d v="2026-09-03T00:00:00"/>
    <d v="2026-09-03T08:40:00"/>
    <d v="2026-09-03T16:56:00"/>
    <x v="3"/>
    <m/>
  </r>
  <r>
    <s v="ATT-0031"/>
    <s v="EMP009"/>
    <s v="Intan Permata"/>
    <x v="3"/>
    <d v="2026-09-28T00:00:00"/>
    <d v="2026-10-29T08:00:00"/>
    <d v="2026-09-28T16:43:00"/>
    <x v="0"/>
    <m/>
  </r>
  <r>
    <s v="ATT-0032"/>
    <s v="EMP005"/>
    <s v="Eka Wulandari"/>
    <x v="3"/>
    <d v="2026-09-25T00:00:00"/>
    <m/>
    <m/>
    <x v="4"/>
    <m/>
  </r>
  <r>
    <s v="ATT-0033"/>
    <s v="EMP002"/>
    <s v="Bima Pratama"/>
    <x v="0"/>
    <d v="2026-09-10T00:00:00"/>
    <d v="2026-09-10T08:40:00"/>
    <d v="2026-09-10T16:40:00"/>
    <x v="3"/>
    <m/>
  </r>
  <r>
    <s v="ATT-0034"/>
    <s v="EMP012"/>
    <s v="Lukman Hakim"/>
    <x v="2"/>
    <d v="2026-09-09T00:00:00"/>
    <m/>
    <m/>
    <x v="1"/>
    <m/>
  </r>
  <r>
    <s v="ATT-0035"/>
    <s v="EMP009"/>
    <s v="Intan Permata"/>
    <x v="3"/>
    <d v="2026-09-30T00:00:00"/>
    <d v="2026-09-30T08:05:00"/>
    <d v="2026-09-30T16:45:00"/>
    <x v="0"/>
    <m/>
  </r>
  <r>
    <s v="ATT-0036"/>
    <s v="EMP010"/>
    <s v="Joko Santoso"/>
    <x v="1"/>
    <d v="2026-09-07T00:00:00"/>
    <d v="2026-09-07T08:05:00"/>
    <d v="2026-09-07T16:15:00"/>
    <x v="0"/>
    <m/>
  </r>
  <r>
    <s v="ATT-0037"/>
    <s v="EMP009"/>
    <s v="Intan Permata"/>
    <x v="3"/>
    <d v="2026-09-30T00:00:00"/>
    <d v="2026-09-30T08:15:00"/>
    <d v="2026-09-30T16:35:00"/>
    <x v="0"/>
    <m/>
  </r>
  <r>
    <s v="ATT-0038"/>
    <s v="EMP001"/>
    <s v="Alya Putri"/>
    <x v="2"/>
    <d v="2026-09-04T00:00:00"/>
    <d v="2026-09-04T08:05:00"/>
    <d v="2026-09-04T16:20:00"/>
    <x v="0"/>
    <m/>
  </r>
  <r>
    <s v="ATT-0039"/>
    <s v="EMP004"/>
    <s v="Dimas Saputra"/>
    <x v="4"/>
    <d v="2026-09-29T00:00:00"/>
    <m/>
    <m/>
    <x v="1"/>
    <m/>
  </r>
  <r>
    <s v="ATT-0040"/>
    <s v="EMP002"/>
    <s v="Bima Pratama"/>
    <x v="0"/>
    <d v="2026-09-24T00:00:00"/>
    <d v="2026-09-24T08:15:00"/>
    <d v="2026-09-24T16:19:00"/>
    <x v="3"/>
    <m/>
  </r>
  <r>
    <s v="ATT-0041"/>
    <s v="EMP008"/>
    <s v="Hadi Wijaya"/>
    <x v="4"/>
    <d v="2026-09-18T00:00:00"/>
    <d v="2026-09-18T08:05:00"/>
    <d v="2026-09-18T16:38:00"/>
    <x v="0"/>
    <m/>
  </r>
  <r>
    <s v="ATT-0042"/>
    <s v="EMP007"/>
    <s v="Gita Maharani"/>
    <x v="2"/>
    <d v="2026-09-07T00:00:00"/>
    <m/>
    <m/>
    <x v="1"/>
    <s v="Doctor appointment"/>
  </r>
  <r>
    <s v="ATT-0043"/>
    <s v="EMP012"/>
    <s v="Lukman Hakim"/>
    <x v="2"/>
    <d v="2026-09-07T00:00:00"/>
    <m/>
    <m/>
    <x v="4"/>
    <m/>
  </r>
  <r>
    <s v="ATT-0044"/>
    <s v="EMP007"/>
    <s v="Gita Maharani"/>
    <x v="2"/>
    <d v="2026-09-22T00:00:00"/>
    <m/>
    <m/>
    <x v="4"/>
    <m/>
  </r>
  <r>
    <s v="ATT-0045"/>
    <s v="EMP008"/>
    <s v="Hadi Wijaya"/>
    <x v="4"/>
    <d v="2026-09-29T00:00:00"/>
    <m/>
    <m/>
    <x v="1"/>
    <s v="Family matter"/>
  </r>
  <r>
    <s v="ATT-0046"/>
    <s v="EMP002"/>
    <s v="Bima Pratama"/>
    <x v="0"/>
    <d v="2026-09-08T00:00:00"/>
    <d v="2026-09-08T08:00:00"/>
    <d v="2026-09-08T16:21:00"/>
    <x v="0"/>
    <m/>
  </r>
  <r>
    <s v="ATT-0047"/>
    <s v="EMP010"/>
    <s v="Joko Santoso"/>
    <x v="1"/>
    <d v="2026-09-18T00:00:00"/>
    <d v="2026-09-18T08:15:00"/>
    <d v="2026-09-18T16:29:00"/>
    <x v="0"/>
    <m/>
  </r>
  <r>
    <s v="ATT-0048"/>
    <s v="EMP002"/>
    <s v="Bima Pratama"/>
    <x v="0"/>
    <d v="2026-09-23T00:00:00"/>
    <m/>
    <m/>
    <x v="4"/>
    <m/>
  </r>
  <r>
    <s v="ATT-0049"/>
    <s v="EMP004"/>
    <s v="Dimas Saputra"/>
    <x v="4"/>
    <d v="2026-09-03T00:00:00"/>
    <d v="2026-09-03T08:05:00"/>
    <d v="2026-09-03T16:09:00"/>
    <x v="0"/>
    <m/>
  </r>
  <r>
    <s v="ATT-0050"/>
    <s v="EMP004"/>
    <s v="Dimas Saputra"/>
    <x v="4"/>
    <d v="2026-09-09T00:00:00"/>
    <m/>
    <m/>
    <x v="4"/>
    <s v="Family matter"/>
  </r>
  <r>
    <s v="ATT-0051"/>
    <s v="EMP004"/>
    <s v="Dimas Saputra"/>
    <x v="4"/>
    <d v="2026-09-18T00:00:00"/>
    <d v="2026-09-18T08:15:00"/>
    <d v="2026-09-18T16:51:00"/>
    <x v="0"/>
    <m/>
  </r>
  <r>
    <s v="ATT-0052"/>
    <s v="EMP004"/>
    <s v="Dimas Saputra"/>
    <x v="4"/>
    <d v="2026-09-28T00:00:00"/>
    <d v="2026-09-28T08:15:00"/>
    <d v="2026-09-28T16:18:00"/>
    <x v="3"/>
    <m/>
  </r>
  <r>
    <s v="ATT-0053"/>
    <s v="EMP011"/>
    <s v="Kirana Dewi"/>
    <x v="0"/>
    <d v="2026-09-14T00:00:00"/>
    <d v="2026-09-14T08:10:00"/>
    <d v="2026-09-14T16:36:00"/>
    <x v="0"/>
    <m/>
  </r>
  <r>
    <s v="ATT-0054"/>
    <s v="EMP012"/>
    <s v="Lukman Hakim"/>
    <x v="2"/>
    <d v="2026-09-02T00:00:00"/>
    <m/>
    <m/>
    <x v="4"/>
    <s v="Doctor appointment"/>
  </r>
  <r>
    <s v="ATT-0055"/>
    <s v="EMP011"/>
    <s v="Kirana Dewi"/>
    <x v="0"/>
    <d v="2026-09-04T00:00:00"/>
    <d v="2026-09-04T08:10:00"/>
    <d v="2026-09-04T16:31:00"/>
    <x v="0"/>
    <m/>
  </r>
  <r>
    <s v="ATT-0056"/>
    <s v="EMP004"/>
    <s v="Dimas Saputra"/>
    <x v="4"/>
    <d v="2026-09-07T00:00:00"/>
    <d v="2026-09-07T08:15:00"/>
    <d v="2026-09-07T16:43:00"/>
    <x v="0"/>
    <m/>
  </r>
  <r>
    <s v="ATT-0057"/>
    <s v="EMP007"/>
    <s v="Gita Maharani"/>
    <x v="2"/>
    <d v="2026-09-07T00:00:00"/>
    <d v="2026-09-07T08:10:00"/>
    <d v="2026-09-07T16:25:00"/>
    <x v="0"/>
    <m/>
  </r>
  <r>
    <s v="ATT-0058"/>
    <s v="EMP008"/>
    <s v="Hadi Wijaya"/>
    <x v="4"/>
    <d v="2026-09-28T00:00:00"/>
    <m/>
    <m/>
    <x v="2"/>
    <s v="Transport issue"/>
  </r>
  <r>
    <s v="ATT-0059"/>
    <s v="EMP002"/>
    <s v="Bima Pratama"/>
    <x v="0"/>
    <d v="2026-09-02T00:00:00"/>
    <m/>
    <m/>
    <x v="4"/>
    <s v="Transport issue"/>
  </r>
  <r>
    <s v="ATT-0060"/>
    <s v="EMP001"/>
    <s v="Alya Putri"/>
    <x v="2"/>
    <d v="2026-09-03T00:00:00"/>
    <m/>
    <m/>
    <x v="2"/>
    <m/>
  </r>
  <r>
    <s v="ATT-0061"/>
    <s v="EMP003"/>
    <s v="Citra Lestari"/>
    <x v="1"/>
    <d v="2026-09-14T00:00:00"/>
    <d v="2026-09-14T08:15:00"/>
    <d v="2026-09-14T16:42:00"/>
    <x v="3"/>
    <m/>
  </r>
  <r>
    <s v="ATT-0062"/>
    <s v="EMP001"/>
    <s v="Alya Putri"/>
    <x v="2"/>
    <d v="2026-09-07T00:00:00"/>
    <d v="2026-09-07T08:40:00"/>
    <d v="2026-09-07T16:48:00"/>
    <x v="3"/>
    <m/>
  </r>
  <r>
    <s v="ATT-0063"/>
    <s v="EMP005"/>
    <s v="Eka Wulandari"/>
    <x v="3"/>
    <d v="2026-09-14T00:00:00"/>
    <m/>
    <m/>
    <x v="4"/>
    <s v="Doctor appointment"/>
  </r>
  <r>
    <s v="ATT-0064"/>
    <s v="EMP009"/>
    <s v="Intan Permata"/>
    <x v="3"/>
    <d v="2026-09-22T00:00:00"/>
    <m/>
    <m/>
    <x v="4"/>
    <s v="Family matter"/>
  </r>
  <r>
    <s v="ATT-0065"/>
    <s v="EMP003"/>
    <s v="Citra Lestari"/>
    <x v="1"/>
    <d v="2026-09-07T00:00:00"/>
    <d v="2026-09-07T08:01:00"/>
    <d v="2026-09-07T16:04:00"/>
    <x v="0"/>
    <m/>
  </r>
  <r>
    <s v="ATT-0066"/>
    <s v="EMP012"/>
    <s v="Lukman Hakim"/>
    <x v="2"/>
    <d v="2026-09-18T00:00:00"/>
    <d v="2026-09-18T08:05:00"/>
    <d v="2026-09-18T16:08:00"/>
    <x v="0"/>
    <m/>
  </r>
  <r>
    <s v="ATT-0067"/>
    <s v="EMP010"/>
    <s v="Joko Santoso"/>
    <x v="1"/>
    <d v="2026-09-16T00:00:00"/>
    <m/>
    <m/>
    <x v="1"/>
    <s v="Transport issue"/>
  </r>
  <r>
    <s v="ATT-0068"/>
    <s v="EMP003"/>
    <s v="Citra Lestari"/>
    <x v="1"/>
    <d v="2026-09-02T00:00:00"/>
    <m/>
    <m/>
    <x v="1"/>
    <m/>
  </r>
  <r>
    <s v="ATT-0069"/>
    <s v="EMP003"/>
    <s v="Citra Lestari"/>
    <x v="1"/>
    <d v="2026-09-03T00:00:00"/>
    <m/>
    <m/>
    <x v="1"/>
    <m/>
  </r>
  <r>
    <s v="ATT-0070"/>
    <s v="EMP011"/>
    <s v="Kirana Dewi"/>
    <x v="0"/>
    <d v="2026-09-28T00:00:00"/>
    <d v="2026-09-28T08:10:00"/>
    <d v="2026-09-28T16:17:00"/>
    <x v="0"/>
    <m/>
  </r>
  <r>
    <s v="ATT-0071"/>
    <s v="EMP004"/>
    <s v="Dimas Saputra"/>
    <x v="4"/>
    <d v="2026-09-21T00:00:00"/>
    <m/>
    <m/>
    <x v="1"/>
    <m/>
  </r>
  <r>
    <s v="ATT-0072"/>
    <s v="EMP010"/>
    <s v="Joko Santoso"/>
    <x v="1"/>
    <d v="2026-09-03T00:00:00"/>
    <d v="2026-09-03T09:25:00"/>
    <d v="2026-09-03T17:54:00"/>
    <x v="3"/>
    <m/>
  </r>
  <r>
    <s v="ATT-0073"/>
    <m/>
    <s v="Dimas Saputra"/>
    <x v="4"/>
    <d v="2026-09-22T00:00:00"/>
    <m/>
    <m/>
    <x v="4"/>
    <m/>
  </r>
  <r>
    <s v="ATT-0074"/>
    <s v="EMP004"/>
    <s v="Dimas Saputra"/>
    <x v="4"/>
    <d v="2026-09-09T00:00:00"/>
    <d v="2026-09-09T08:25:00"/>
    <d v="2026-09-09T16:39:00"/>
    <x v="3"/>
    <m/>
  </r>
  <r>
    <s v="ATT-0075"/>
    <s v="EMP002"/>
    <s v="Bima Pratama"/>
    <x v="0"/>
    <d v="2026-09-01T00:00:00"/>
    <d v="2026-09-01T09:10:00"/>
    <d v="2026-09-01T17:12:00"/>
    <x v="3"/>
    <m/>
  </r>
  <r>
    <s v="ATT-0076"/>
    <s v="EMP004"/>
    <s v="Dimas Saputra"/>
    <x v="4"/>
    <d v="2026-09-17T00:00:00"/>
    <d v="2026-09-17T08:01:00"/>
    <d v="2026-09-17T16:23:00"/>
    <x v="0"/>
    <m/>
  </r>
  <r>
    <s v="ATT-0077"/>
    <s v="EMP004"/>
    <s v="Dimas Saputra"/>
    <x v="4"/>
    <d v="2026-09-14T00:00:00"/>
    <d v="2026-09-14T08:01:00"/>
    <d v="2026-09-14T16:29:00"/>
    <x v="0"/>
    <m/>
  </r>
  <r>
    <s v="ATT-0078"/>
    <s v="EMP012"/>
    <s v="Lukman Hakim"/>
    <x v="2"/>
    <d v="2026-09-10T00:00:00"/>
    <m/>
    <m/>
    <x v="1"/>
    <s v="Doctor appointment"/>
  </r>
  <r>
    <s v="ATT-0079"/>
    <s v="EMP009"/>
    <s v="Intan Permata"/>
    <x v="3"/>
    <d v="2026-09-01T00:00:00"/>
    <m/>
    <m/>
    <x v="4"/>
    <s v="Transport issue"/>
  </r>
  <r>
    <s v="ATT-0080"/>
    <s v="EMP005"/>
    <s v="Eka Wulandari"/>
    <x v="3"/>
    <d v="2026-09-30T00:00:00"/>
    <m/>
    <m/>
    <x v="4"/>
    <m/>
  </r>
  <r>
    <s v="ATT-0081"/>
    <s v="EMP003"/>
    <s v="Citra Lestari"/>
    <x v="1"/>
    <d v="2026-09-09T00:00:00"/>
    <d v="2026-09-09T08:00:00"/>
    <d v="2026-09-09T16:35:00"/>
    <x v="0"/>
    <m/>
  </r>
  <r>
    <s v="ATT-0082"/>
    <s v="EMP005"/>
    <s v="Eka Wulandari"/>
    <x v="3"/>
    <d v="2026-09-10T00:00:00"/>
    <m/>
    <m/>
    <x v="1"/>
    <m/>
  </r>
  <r>
    <s v="ATT-0083"/>
    <s v="EMP012"/>
    <s v="Lukman Hakim"/>
    <x v="2"/>
    <d v="2026-09-11T00:00:00"/>
    <d v="2026-09-11T08:05:00"/>
    <d v="2026-09-11T16:37:00"/>
    <x v="0"/>
    <m/>
  </r>
  <r>
    <s v="ATT-0084"/>
    <s v="EMP005"/>
    <s v="Eka Wulandari"/>
    <x v="3"/>
    <d v="2026-09-29T00:00:00"/>
    <m/>
    <m/>
    <x v="2"/>
    <m/>
  </r>
  <r>
    <s v="ATT-0085"/>
    <s v="EMP002"/>
    <s v="Bima Pratama"/>
    <x v="0"/>
    <d v="2026-09-21T00:00:00"/>
    <d v="2026-09-21T08:10:00"/>
    <d v="2026-09-21T16:10:00"/>
    <x v="3"/>
    <m/>
  </r>
  <r>
    <s v="ATT-0086"/>
    <s v="EMP003"/>
    <s v="Citra Lestari"/>
    <x v="1"/>
    <d v="2026-09-21T00:00:00"/>
    <d v="2026-09-21T08:01:00"/>
    <d v="2026-09-21T16:29:00"/>
    <x v="0"/>
    <m/>
  </r>
  <r>
    <s v="ATT-0087"/>
    <s v="EMP012"/>
    <s v="Lukman Hakim"/>
    <x v="2"/>
    <d v="2026-09-14T00:00:00"/>
    <m/>
    <m/>
    <x v="1"/>
    <m/>
  </r>
  <r>
    <s v="ATT-0088"/>
    <m/>
    <s v="Bima Pratama"/>
    <x v="0"/>
    <d v="2026-09-03T00:00:00"/>
    <m/>
    <m/>
    <x v="4"/>
    <m/>
  </r>
  <r>
    <s v="ATT-0089"/>
    <s v="EMP009"/>
    <s v="Intan Permata"/>
    <x v="3"/>
    <d v="2026-09-02T00:00:00"/>
    <m/>
    <m/>
    <x v="2"/>
    <m/>
  </r>
  <r>
    <s v="ATT-0090"/>
    <s v="EMP010"/>
    <s v="Joko Santoso"/>
    <x v="1"/>
    <d v="2026-09-18T00:00:00"/>
    <d v="2026-09-18T08:10:00"/>
    <d v="2026-09-18T16:18:00"/>
    <x v="0"/>
    <m/>
  </r>
  <r>
    <s v="ATT-0091"/>
    <s v="EMP005"/>
    <s v="Eka Wulandari"/>
    <x v="3"/>
    <d v="2026-09-14T00:00:00"/>
    <m/>
    <m/>
    <x v="2"/>
    <m/>
  </r>
  <r>
    <s v="ATT-0092"/>
    <s v="EMP006"/>
    <s v="Farhan Akbar"/>
    <x v="0"/>
    <d v="2026-09-07T00:00:00"/>
    <m/>
    <m/>
    <x v="4"/>
    <m/>
  </r>
  <r>
    <s v="ATT-0093"/>
    <s v="EMP011"/>
    <s v="Kirana Dewi"/>
    <x v="0"/>
    <d v="2026-09-04T00:00:00"/>
    <d v="2026-09-04T08:15:00"/>
    <d v="2026-09-04T16:41:00"/>
    <x v="0"/>
    <m/>
  </r>
  <r>
    <s v="ATT-0094"/>
    <s v="EMP012"/>
    <s v="Lukman Hakim"/>
    <x v="2"/>
    <d v="2026-09-07T00:00:00"/>
    <d v="2026-09-07T08:01:00"/>
    <d v="2026-09-07T16:12:00"/>
    <x v="0"/>
    <m/>
  </r>
  <r>
    <s v="ATT-0095"/>
    <s v="EMP001"/>
    <s v="Alya Putri"/>
    <x v="2"/>
    <d v="2026-09-07T00:00:00"/>
    <m/>
    <m/>
    <x v="4"/>
    <m/>
  </r>
  <r>
    <s v="ATT-0096"/>
    <s v="EMP007"/>
    <s v="Gita Maharani"/>
    <x v="2"/>
    <d v="2026-09-28T00:00:00"/>
    <m/>
    <m/>
    <x v="4"/>
    <s v="Doctor appointment"/>
  </r>
  <r>
    <s v="ATT-0097"/>
    <s v="EMP004"/>
    <s v="Dimas Saputra"/>
    <x v="4"/>
    <d v="2026-09-09T00:00:00"/>
    <d v="2026-09-09T08:00:00"/>
    <d v="2026-09-09T16:24:00"/>
    <x v="0"/>
    <m/>
  </r>
  <r>
    <s v="ATT-0098"/>
    <s v="EMP008"/>
    <s v="Hadi Wijaya"/>
    <x v="4"/>
    <d v="2026-09-08T00:00:00"/>
    <d v="2026-09-08T08:10:00"/>
    <d v="2026-09-08T16:32:00"/>
    <x v="0"/>
    <m/>
  </r>
  <r>
    <s v="ATT-0099"/>
    <s v="EMP004"/>
    <s v="Dimas Saputra"/>
    <x v="4"/>
    <d v="2026-09-08T00:00:00"/>
    <d v="2026-09-08T08:01:00"/>
    <d v="2026-09-08T16:26:00"/>
    <x v="0"/>
    <m/>
  </r>
  <r>
    <s v="ATT-0100"/>
    <s v="EMP005"/>
    <s v="Eka Wulandari"/>
    <x v="3"/>
    <d v="2026-09-28T00:00:00"/>
    <d v="2026-09-28T08:05:00"/>
    <d v="2026-09-28T16:27:00"/>
    <x v="0"/>
    <m/>
  </r>
  <r>
    <s v="ATT-0101"/>
    <s v="EMP009"/>
    <s v="Intan Permata"/>
    <x v="3"/>
    <d v="2026-09-14T00:00:00"/>
    <m/>
    <m/>
    <x v="4"/>
    <s v="Transport issue"/>
  </r>
  <r>
    <s v="ATT-0102"/>
    <s v="EMP006"/>
    <s v="Farhan Akbar"/>
    <x v="0"/>
    <d v="2026-09-01T00:00:00"/>
    <d v="2026-09-01T08:05:00"/>
    <d v="2026-09-01T16:16:00"/>
    <x v="0"/>
    <m/>
  </r>
  <r>
    <s v="ATT-0103"/>
    <s v="EMP005"/>
    <s v="Eka Wulandari"/>
    <x v="3"/>
    <d v="2026-09-02T00:00:00"/>
    <d v="2026-09-02T08:15:00"/>
    <d v="2026-09-02T16:42:00"/>
    <x v="0"/>
    <m/>
  </r>
  <r>
    <s v="ATT-0104"/>
    <s v="EMP012"/>
    <s v="Lukman Hakim"/>
    <x v="2"/>
    <d v="2026-09-28T00:00:00"/>
    <d v="2026-09-28T08:10:00"/>
    <d v="2026-09-28T16:48:00"/>
    <x v="0"/>
    <m/>
  </r>
  <r>
    <s v="ATT-0105"/>
    <s v="EMP002"/>
    <s v="Bima Pratama"/>
    <x v="0"/>
    <d v="2026-09-14T00:00:00"/>
    <m/>
    <m/>
    <x v="1"/>
    <m/>
  </r>
  <r>
    <s v="ATT-0106"/>
    <s v="EMP005"/>
    <s v="Eka Wulandari"/>
    <x v="3"/>
    <d v="2026-09-02T00:00:00"/>
    <m/>
    <m/>
    <x v="4"/>
    <s v="Family matter"/>
  </r>
  <r>
    <s v="ATT-0107"/>
    <s v="EMP001"/>
    <s v="Alya Putri"/>
    <x v="2"/>
    <d v="2026-09-17T00:00:00"/>
    <m/>
    <m/>
    <x v="2"/>
    <s v="Transport issue"/>
  </r>
  <r>
    <s v="ATT-0108"/>
    <s v="EMP011"/>
    <s v="Kirana Dewi"/>
    <x v="0"/>
    <d v="2026-09-24T00:00:00"/>
    <m/>
    <m/>
    <x v="4"/>
    <s v="Doctor appointment"/>
  </r>
  <r>
    <s v="ATT-0109"/>
    <s v="EMP011"/>
    <s v="Kirana Dewi"/>
    <x v="0"/>
    <d v="2026-09-07T00:00:00"/>
    <d v="2026-09-07T08:10:00"/>
    <d v="2026-09-07T16:14:00"/>
    <x v="0"/>
    <m/>
  </r>
  <r>
    <s v="ATT-0110"/>
    <s v="EMP006"/>
    <s v="Farhan Akbar"/>
    <x v="0"/>
    <d v="2026-09-21T00:00:00"/>
    <d v="2026-09-21T08:00:00"/>
    <d v="2026-09-21T16:19:00"/>
    <x v="0"/>
    <m/>
  </r>
  <r>
    <s v="ATT-0111"/>
    <s v="EMP005"/>
    <s v="Eka Wulandari"/>
    <x v="3"/>
    <d v="2026-09-22T00:00:00"/>
    <d v="2026-09-22T08:40:00"/>
    <d v="2026-09-22T17:02:00"/>
    <x v="3"/>
    <m/>
  </r>
  <r>
    <s v="ATT-0112"/>
    <s v="EMP009"/>
    <s v="Intan Permata"/>
    <x v="3"/>
    <d v="2026-09-07T00:00:00"/>
    <d v="2026-09-07T08:10:00"/>
    <d v="2026-09-07T16:52:00"/>
    <x v="0"/>
    <m/>
  </r>
  <r>
    <s v="ATT-0113"/>
    <m/>
    <s v="Kirana Dewi"/>
    <x v="0"/>
    <d v="2026-09-24T00:00:00"/>
    <d v="2026-09-24T08:15:00"/>
    <d v="2026-09-24T16:51:00"/>
    <x v="0"/>
    <m/>
  </r>
  <r>
    <s v="ATT-0114"/>
    <s v="EMP007"/>
    <s v="Gita Maharani"/>
    <x v="2"/>
    <d v="2026-09-18T00:00:00"/>
    <m/>
    <m/>
    <x v="2"/>
    <m/>
  </r>
  <r>
    <s v="ATT-0115"/>
    <s v="EMP005"/>
    <s v="Eka Wulandari"/>
    <x v="3"/>
    <d v="2026-09-10T00:00:00"/>
    <d v="2026-09-10T08:10:00"/>
    <d v="2026-09-10T16:47:00"/>
    <x v="0"/>
    <m/>
  </r>
  <r>
    <s v="ATT-0116"/>
    <s v="EMP011"/>
    <s v="Kirana Dewi"/>
    <x v="0"/>
    <d v="2026-09-11T00:00:00"/>
    <d v="2026-09-11T08:40:00"/>
    <d v="2026-09-11T17:01:00"/>
    <x v="3"/>
    <m/>
  </r>
  <r>
    <s v="ATT-0117"/>
    <s v="EMP009"/>
    <s v="Intan Permata"/>
    <x v="3"/>
    <d v="2026-09-16T00:00:00"/>
    <m/>
    <m/>
    <x v="2"/>
    <s v="Doctor appointment"/>
  </r>
  <r>
    <s v="ATT-0118"/>
    <s v="EMP003"/>
    <s v="Citra Lestari"/>
    <x v="1"/>
    <d v="2026-09-22T00:00:00"/>
    <d v="2026-09-22T08:05:00"/>
    <d v="2026-09-22T16:37:00"/>
    <x v="0"/>
    <m/>
  </r>
  <r>
    <s v="ATT-0119"/>
    <s v="EMP011"/>
    <s v="Kirana Dewi"/>
    <x v="0"/>
    <d v="2026-09-21T00:00:00"/>
    <d v="2026-09-21T08:00:00"/>
    <d v="2026-09-21T16:15:00"/>
    <x v="0"/>
    <m/>
  </r>
  <r>
    <s v="ATT-0120"/>
    <s v="EMP005"/>
    <s v="Eka Wulandari"/>
    <x v="3"/>
    <d v="2026-09-08T00:00:00"/>
    <m/>
    <m/>
    <x v="2"/>
    <m/>
  </r>
  <r>
    <s v="ATT-0121"/>
    <m/>
    <s v="Citra Lestari"/>
    <x v="1"/>
    <d v="2026-09-01T00:00:00"/>
    <d v="2026-09-01T08:01:00"/>
    <d v="2026-09-01T16:31:00"/>
    <x v="0"/>
    <m/>
  </r>
  <r>
    <s v="ATT-0122"/>
    <s v="EMP002"/>
    <s v="Bima Pratama"/>
    <x v="0"/>
    <d v="2026-09-15T00:00:00"/>
    <d v="2026-09-15T09:15:00"/>
    <d v="2026-09-15T17:37:00"/>
    <x v="3"/>
    <m/>
  </r>
  <r>
    <s v="ATT-0123"/>
    <m/>
    <s v="Gita Maharani"/>
    <x v="2"/>
    <d v="2026-09-16T00:00:00"/>
    <d v="2026-09-16T08:15:00"/>
    <d v="2026-09-16T16:35:00"/>
    <x v="3"/>
    <m/>
  </r>
  <r>
    <s v="ATT-0124"/>
    <s v="EMP001"/>
    <s v="Alya Putri"/>
    <x v="2"/>
    <d v="2026-09-29T00:00:00"/>
    <m/>
    <m/>
    <x v="2"/>
    <m/>
  </r>
  <r>
    <s v="ATT-0125"/>
    <s v="EMP007"/>
    <s v="Gita Maharani"/>
    <x v="2"/>
    <d v="2026-09-08T00:00:00"/>
    <d v="2026-09-08T08:15:00"/>
    <d v="2026-09-08T16:44:00"/>
    <x v="0"/>
    <m/>
  </r>
  <r>
    <s v="ATT-0126"/>
    <s v="EMP009"/>
    <s v="Intan Permata"/>
    <x v="3"/>
    <d v="2026-09-08T00:00:00"/>
    <m/>
    <m/>
    <x v="2"/>
    <m/>
  </r>
  <r>
    <s v="ATT-0127"/>
    <s v="EMP008"/>
    <s v="Hadi Wijaya"/>
    <x v="4"/>
    <d v="2026-09-07T00:00:00"/>
    <m/>
    <m/>
    <x v="2"/>
    <s v="Family matter"/>
  </r>
  <r>
    <s v="ATT-0128"/>
    <s v="EMP011"/>
    <s v="Kirana Dewi"/>
    <x v="0"/>
    <d v="2026-09-17T00:00:00"/>
    <m/>
    <m/>
    <x v="1"/>
    <s v="Transport issue"/>
  </r>
  <r>
    <s v="ATT-0129"/>
    <s v="EMP006"/>
    <s v="Farhan Akbar"/>
    <x v="0"/>
    <d v="2026-09-25T00:00:00"/>
    <d v="2026-09-25T09:40:00"/>
    <d v="2026-09-25T18:06:00"/>
    <x v="3"/>
    <m/>
  </r>
  <r>
    <s v="ATT-0130"/>
    <s v="EMP008"/>
    <s v="Hadi Wijaya"/>
    <x v="4"/>
    <d v="2026-09-29T00:00:00"/>
    <d v="2026-09-29T08:10:00"/>
    <d v="2026-09-29T16:38:00"/>
    <x v="0"/>
    <m/>
  </r>
  <r>
    <s v="ATT-0131"/>
    <s v="EMP004"/>
    <s v="Dimas Saputra"/>
    <x v="4"/>
    <d v="2026-09-28T00:00:00"/>
    <m/>
    <m/>
    <x v="4"/>
    <m/>
  </r>
  <r>
    <s v="ATT-0132"/>
    <s v="EMP009"/>
    <s v="Intan Permata"/>
    <x v="3"/>
    <d v="2026-09-16T00:00:00"/>
    <m/>
    <m/>
    <x v="4"/>
    <m/>
  </r>
  <r>
    <s v="ATT-0133"/>
    <s v="EMP005"/>
    <s v="Eka Wulandari"/>
    <x v="3"/>
    <d v="2026-09-15T00:00:00"/>
    <d v="2026-09-15T08:05:00"/>
    <d v="2026-09-15T16:20:00"/>
    <x v="0"/>
    <m/>
  </r>
  <r>
    <s v="ATT-0134"/>
    <s v="EMP006"/>
    <s v="Farhan Akbar"/>
    <x v="0"/>
    <d v="2026-09-11T00:00:00"/>
    <m/>
    <m/>
    <x v="1"/>
    <m/>
  </r>
  <r>
    <s v="ATT-0135"/>
    <s v="EMP003"/>
    <s v="Citra Lestari"/>
    <x v="1"/>
    <d v="2026-09-07T00:00:00"/>
    <d v="2026-09-07T08:10:00"/>
    <d v="2026-09-07T16:54:00"/>
    <x v="0"/>
    <m/>
  </r>
  <r>
    <s v="ATT-0136"/>
    <s v="EMP012"/>
    <s v="Lukman Hakim"/>
    <x v="2"/>
    <d v="2026-09-07T00:00:00"/>
    <d v="2026-09-07T08:10:00"/>
    <d v="2026-09-07T16:36:00"/>
    <x v="0"/>
    <m/>
  </r>
  <r>
    <s v="ATT-0137"/>
    <s v="EMP009"/>
    <s v="Intan Permata"/>
    <x v="3"/>
    <d v="2026-09-15T00:00:00"/>
    <d v="2026-09-15T08:15:00"/>
    <d v="2026-09-15T16:41:00"/>
    <x v="3"/>
    <m/>
  </r>
  <r>
    <s v="ATT-0138"/>
    <s v="EMP007"/>
    <s v="Gita Maharani"/>
    <x v="2"/>
    <d v="2026-09-29T00:00:00"/>
    <m/>
    <m/>
    <x v="2"/>
    <s v="Transport issue"/>
  </r>
  <r>
    <s v="ATT-0139"/>
    <s v="EMP012"/>
    <s v="Lukman Hakim"/>
    <x v="2"/>
    <d v="2026-09-01T00:00:00"/>
    <m/>
    <m/>
    <x v="2"/>
    <s v="Transport issue"/>
  </r>
  <r>
    <s v="ATT-0140"/>
    <s v="EMP007"/>
    <s v="Gita Maharani"/>
    <x v="2"/>
    <d v="2026-09-16T00:00:00"/>
    <d v="2026-09-16T08:05:00"/>
    <d v="2026-09-16T16:24:00"/>
    <x v="0"/>
    <m/>
  </r>
  <r>
    <s v="ATT-0141"/>
    <s v="EMP007"/>
    <s v="Gita Maharani"/>
    <x v="2"/>
    <d v="2026-09-18T00:00:00"/>
    <m/>
    <m/>
    <x v="4"/>
    <s v="Doctor appointment"/>
  </r>
  <r>
    <s v="ATT-0142"/>
    <s v="EMP009"/>
    <s v="Intan Permata"/>
    <x v="3"/>
    <d v="2026-09-28T00:00:00"/>
    <m/>
    <m/>
    <x v="1"/>
    <m/>
  </r>
  <r>
    <s v="ATT-0143"/>
    <s v="EMP008"/>
    <s v="Hadi Wijaya"/>
    <x v="4"/>
    <d v="2026-09-08T00:00:00"/>
    <d v="2026-09-08T08:10:00"/>
    <d v="2026-09-08T16:41:00"/>
    <x v="0"/>
    <m/>
  </r>
  <r>
    <s v="ATT-0144"/>
    <s v="EMP007"/>
    <s v="Gita Maharani"/>
    <x v="2"/>
    <d v="2026-09-11T00:00:00"/>
    <m/>
    <m/>
    <x v="4"/>
    <s v="Doctor appointment"/>
  </r>
  <r>
    <s v="ATT-0145"/>
    <s v="EMP007"/>
    <s v="Gita Maharani"/>
    <x v="2"/>
    <d v="2026-09-24T00:00:00"/>
    <d v="2026-10-29T08:10:00"/>
    <d v="2026-09-24T16:18:00"/>
    <x v="0"/>
    <m/>
  </r>
  <r>
    <s v="ATT-0146"/>
    <s v="EMP009"/>
    <s v="Intan Permata"/>
    <x v="3"/>
    <d v="2026-09-01T00:00:00"/>
    <d v="2026-09-01T09:10:00"/>
    <d v="2026-09-01T17:12:00"/>
    <x v="3"/>
    <m/>
  </r>
  <r>
    <s v="ATT-0147"/>
    <s v="EMP007"/>
    <s v="Gita Maharani"/>
    <x v="2"/>
    <d v="2026-09-07T00:00:00"/>
    <m/>
    <m/>
    <x v="2"/>
    <s v="Family matter"/>
  </r>
  <r>
    <s v="ATT-0148"/>
    <s v="EMP003"/>
    <s v="Citra Lestari"/>
    <x v="1"/>
    <d v="2026-09-02T00:00:00"/>
    <d v="2026-10-29T08:10:00"/>
    <d v="2026-09-02T16:30:00"/>
    <x v="0"/>
    <m/>
  </r>
  <r>
    <s v="ATT-0149"/>
    <s v="EMP008"/>
    <s v="Hadi Wijaya"/>
    <x v="4"/>
    <d v="2026-09-11T00:00:00"/>
    <d v="2026-09-11T08:10:00"/>
    <d v="2026-09-11T16:27:00"/>
    <x v="0"/>
    <m/>
  </r>
  <r>
    <s v="ATT-0150"/>
    <s v="EMP005"/>
    <s v="Eka Wulandari"/>
    <x v="3"/>
    <d v="2026-09-28T00:00:00"/>
    <d v="2026-09-28T08:10:00"/>
    <d v="2026-09-28T16:11:00"/>
    <x v="0"/>
    <m/>
  </r>
  <r>
    <s v="ATT-0151"/>
    <s v="EMP009"/>
    <s v="Intan Permata"/>
    <x v="3"/>
    <d v="2026-09-02T00:00:00"/>
    <d v="2026-09-02T08:01:00"/>
    <d v="2026-09-02T16:42:00"/>
    <x v="0"/>
    <m/>
  </r>
  <r>
    <s v="ATT-0152"/>
    <s v="EMP011"/>
    <s v="Kirana Dewi"/>
    <x v="0"/>
    <d v="2026-09-02T00:00:00"/>
    <m/>
    <m/>
    <x v="2"/>
    <m/>
  </r>
  <r>
    <s v="ATT-0153"/>
    <s v="EMP004"/>
    <s v="Dimas Saputra"/>
    <x v="4"/>
    <d v="2026-09-07T00:00:00"/>
    <m/>
    <m/>
    <x v="2"/>
    <m/>
  </r>
  <r>
    <s v="ATT-0154"/>
    <s v="EMP010"/>
    <s v="Joko Santoso"/>
    <x v="1"/>
    <d v="2026-09-07T00:00:00"/>
    <d v="2026-09-07T08:01:00"/>
    <d v="2026-09-07T16:31:00"/>
    <x v="0"/>
    <m/>
  </r>
  <r>
    <s v="ATT-0155"/>
    <s v="EMP002"/>
    <s v="Bima Pratama"/>
    <x v="0"/>
    <d v="2026-09-21T00:00:00"/>
    <d v="2026-09-21T08:10:00"/>
    <d v="2026-09-21T16:54:00"/>
    <x v="0"/>
    <m/>
  </r>
  <r>
    <s v="ATT-0156"/>
    <s v="EMP006"/>
    <s v="Farhan Akbar"/>
    <x v="0"/>
    <d v="2026-09-07T00:00:00"/>
    <m/>
    <m/>
    <x v="1"/>
    <s v="Transport issue"/>
  </r>
  <r>
    <s v="ATT-0157"/>
    <s v="EMP012"/>
    <s v="Lukman Hakim"/>
    <x v="2"/>
    <d v="2026-09-23T00:00:00"/>
    <d v="2026-09-23T08:01:00"/>
    <d v="2026-09-23T16:20:00"/>
    <x v="0"/>
    <m/>
  </r>
  <r>
    <s v="ATT-0158"/>
    <s v="EMP010"/>
    <s v="Joko Santoso"/>
    <x v="1"/>
    <d v="2026-09-01T00:00:00"/>
    <d v="2026-09-01T08:15:00"/>
    <d v="2026-09-01T16:58:00"/>
    <x v="0"/>
    <m/>
  </r>
  <r>
    <s v="ATT-0159"/>
    <s v="EMP007"/>
    <s v="Gita Maharani"/>
    <x v="2"/>
    <d v="2026-09-23T00:00:00"/>
    <d v="2026-09-23T08:00:00"/>
    <d v="2026-09-23T16:37:00"/>
    <x v="0"/>
    <m/>
  </r>
  <r>
    <s v="ATT-0160"/>
    <s v="EMP011"/>
    <s v="Kirana Dewi"/>
    <x v="0"/>
    <d v="2026-09-08T00:00:00"/>
    <d v="2026-09-08T08:05:00"/>
    <d v="2026-09-08T16:48:00"/>
    <x v="0"/>
    <m/>
  </r>
  <r>
    <s v="ATT-0161"/>
    <s v="EMP002"/>
    <s v="Bima Pratama"/>
    <x v="0"/>
    <d v="2026-09-28T00:00:00"/>
    <m/>
    <m/>
    <x v="1"/>
    <m/>
  </r>
  <r>
    <s v="ATT-0162"/>
    <s v="EMP006"/>
    <s v="Farhan Akbar"/>
    <x v="0"/>
    <d v="2026-09-18T00:00:00"/>
    <d v="2026-10-29T09:25:00"/>
    <d v="2026-09-18T17:27:00"/>
    <x v="3"/>
    <m/>
  </r>
  <r>
    <s v="ATT-0163"/>
    <s v="EMP011"/>
    <s v="Kirana Dewi"/>
    <x v="0"/>
    <d v="2026-09-11T00:00:00"/>
    <d v="2026-09-11T08:10:00"/>
    <d v="2026-09-11T16:41:00"/>
    <x v="0"/>
    <m/>
  </r>
  <r>
    <s v="ATT-0164"/>
    <s v="EMP007"/>
    <s v="Gita Maharani"/>
    <x v="2"/>
    <d v="2026-09-14T00:00:00"/>
    <m/>
    <m/>
    <x v="4"/>
    <s v="Family matter"/>
  </r>
  <r>
    <s v="ATT-0165"/>
    <s v="EMP012"/>
    <s v="Lukman Hakim"/>
    <x v="2"/>
    <d v="2026-09-07T00:00:00"/>
    <d v="2026-09-07T08:25:00"/>
    <d v="2026-09-07T16:44:00"/>
    <x v="3"/>
    <m/>
  </r>
  <r>
    <s v="ATT-0166"/>
    <s v="EMP008"/>
    <s v="Hadi Wijaya"/>
    <x v="4"/>
    <d v="2026-09-15T00:00:00"/>
    <d v="2026-09-15T09:25:00"/>
    <d v="2026-09-15T17:35:00"/>
    <x v="3"/>
    <m/>
  </r>
  <r>
    <s v="ATT-0167"/>
    <s v="EMP002"/>
    <s v="Bima Pratama"/>
    <x v="0"/>
    <d v="2026-09-09T00:00:00"/>
    <d v="2026-09-09T08:40:00"/>
    <d v="2026-09-09T16:58:00"/>
    <x v="3"/>
    <m/>
  </r>
  <r>
    <s v="ATT-0168"/>
    <s v="EMP011"/>
    <s v="Kirana Dewi"/>
    <x v="0"/>
    <d v="2026-09-14T00:00:00"/>
    <d v="2026-09-14T08:00:00"/>
    <d v="2026-09-14T16:31:00"/>
    <x v="0"/>
    <m/>
  </r>
  <r>
    <s v="ATT-0169"/>
    <s v="EMP003"/>
    <s v="Citra Lestari"/>
    <x v="1"/>
    <d v="2026-09-16T00:00:00"/>
    <d v="2026-09-16T08:05:00"/>
    <d v="2026-09-16T16:21:00"/>
    <x v="0"/>
    <m/>
  </r>
  <r>
    <s v="ATT-0170"/>
    <s v="EMP005"/>
    <s v="Eka Wulandari"/>
    <x v="3"/>
    <d v="2026-09-29T00:00:00"/>
    <m/>
    <m/>
    <x v="1"/>
    <s v="Doctor appointment"/>
  </r>
  <r>
    <s v="ATT-0171"/>
    <s v="EMP005"/>
    <s v="Eka Wulandari"/>
    <x v="3"/>
    <d v="2026-09-18T00:00:00"/>
    <d v="2026-09-18T08:15:00"/>
    <d v="2026-09-18T16:27:00"/>
    <x v="0"/>
    <m/>
  </r>
  <r>
    <s v="ATT-0172"/>
    <s v="EMP004"/>
    <s v="Dimas Saputra"/>
    <x v="4"/>
    <d v="2026-09-24T00:00:00"/>
    <d v="2026-09-24T08:15:00"/>
    <d v="2026-09-24T16:37:00"/>
    <x v="3"/>
    <m/>
  </r>
  <r>
    <s v="ATT-0173"/>
    <s v="EMP011"/>
    <s v="Kirana Dewi"/>
    <x v="0"/>
    <d v="2026-09-23T00:00:00"/>
    <d v="2026-09-23T08:10:00"/>
    <d v="2026-09-23T16:12:00"/>
    <x v="3"/>
    <m/>
  </r>
  <r>
    <s v="ATT-0174"/>
    <s v="EMP004"/>
    <s v="Dimas Saputra"/>
    <x v="4"/>
    <d v="2026-09-14T00:00:00"/>
    <m/>
    <m/>
    <x v="4"/>
    <m/>
  </r>
  <r>
    <s v="ATT-0175"/>
    <s v="EMP005"/>
    <s v="Eka Wulandari"/>
    <x v="3"/>
    <d v="2026-09-22T00:00:00"/>
    <m/>
    <m/>
    <x v="1"/>
    <m/>
  </r>
  <r>
    <s v="ATT-0176"/>
    <s v="EMP008"/>
    <s v="Hadi Wijaya"/>
    <x v="4"/>
    <d v="2026-09-18T00:00:00"/>
    <m/>
    <m/>
    <x v="1"/>
    <m/>
  </r>
  <r>
    <s v="ATT-0177"/>
    <s v="EMP007"/>
    <s v="Gita Maharani"/>
    <x v="2"/>
    <d v="2026-09-24T00:00:00"/>
    <m/>
    <m/>
    <x v="1"/>
    <m/>
  </r>
  <r>
    <s v="ATT-0178"/>
    <s v="EMP006"/>
    <s v="Farhan Akbar"/>
    <x v="0"/>
    <d v="2026-09-23T00:00:00"/>
    <d v="2026-09-23T08:25:00"/>
    <d v="2026-09-23T16:33:00"/>
    <x v="3"/>
    <m/>
  </r>
  <r>
    <s v="ATT-0179"/>
    <s v="EMP002"/>
    <s v="Bima Pratama"/>
    <x v="0"/>
    <d v="2026-09-24T00:00:00"/>
    <d v="2026-09-24T08:05:00"/>
    <d v="2026-09-24T16:12:00"/>
    <x v="0"/>
    <m/>
  </r>
  <r>
    <s v="ATT-0180"/>
    <s v="EMP009"/>
    <s v="Intan Permata"/>
    <x v="3"/>
    <d v="2026-09-25T00:00:00"/>
    <m/>
    <m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1F6C44-9A44-4F8E-8246-3201E551A8E6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7" firstHeaderRow="1" firstDataRow="1" firstDataCol="1"/>
  <pivotFields count="9">
    <pivotField dataField="1" showAll="0"/>
    <pivotField showAll="0"/>
    <pivotField showAll="0"/>
    <pivotField showAll="0"/>
    <pivotField numFmtId="14" showAll="0"/>
    <pivotField showAll="0"/>
    <pivotField showAll="0"/>
    <pivotField axis="axisRow" showAll="0">
      <items count="6">
        <item x="1"/>
        <item x="3"/>
        <item x="4"/>
        <item x="0"/>
        <item x="2"/>
        <item t="default"/>
      </items>
    </pivotField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Attendance ID" fld="0" subtotal="count" baseField="7" baseItem="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52AEBE-E18A-4668-935E-9C4F8F9BA305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7" firstHeaderRow="1" firstDataRow="1" firstDataCol="1"/>
  <pivotFields count="9">
    <pivotField dataField="1" showAll="0"/>
    <pivotField showAll="0"/>
    <pivotField showAll="0"/>
    <pivotField axis="axisRow" showAll="0">
      <items count="6">
        <item x="2"/>
        <item x="1"/>
        <item x="4"/>
        <item x="0"/>
        <item x="3"/>
        <item t="default"/>
      </items>
    </pivotField>
    <pivotField numFmtId="14"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Attendance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BAB83E-D118-4AE3-9AE7-18504142E33C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G8" firstHeaderRow="1" firstDataRow="2" firstDataCol="1"/>
  <pivotFields count="9">
    <pivotField dataField="1" showAll="0"/>
    <pivotField showAll="0"/>
    <pivotField showAll="0"/>
    <pivotField axis="axisRow" showAll="0">
      <items count="6">
        <item x="2"/>
        <item x="1"/>
        <item x="4"/>
        <item x="0"/>
        <item x="3"/>
        <item t="default"/>
      </items>
    </pivotField>
    <pivotField numFmtId="14" showAll="0"/>
    <pivotField showAll="0"/>
    <pivotField showAll="0"/>
    <pivotField axis="axisCol" showAll="0">
      <items count="6">
        <item x="1"/>
        <item x="3"/>
        <item x="4"/>
        <item x="0"/>
        <item x="2"/>
        <item t="default"/>
      </items>
    </pivotField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Attendance ID" fld="0" subtotal="count" baseField="0" baseItem="0"/>
  </dataFields>
  <chartFormats count="10">
    <chartFormat chart="0" format="0" series="1">
      <pivotArea type="data" outline="0" fieldPosition="0">
        <references count="1"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7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7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7" count="1" selected="0">
            <x v="4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6" format="1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7272D7-AE4B-4E83-B7E5-3F4AD81B275A}" name="tb1Absensi" displayName="tb1Absensi" ref="A1:I181" totalsRowShown="0" headerRowDxfId="0" headerRowBorderDxfId="2" tableBorderDxfId="3">
  <autoFilter ref="A1:I181" xr:uid="{FFF8FB6D-9ACD-4D92-8203-A8DC63C14108}"/>
  <tableColumns count="9">
    <tableColumn id="1" xr3:uid="{D42DE7FD-753E-43DE-B448-952B88BCE05E}" name="Attendance ID"/>
    <tableColumn id="2" xr3:uid="{8F1C3D89-16A8-4E7D-911B-1E0CDF7BA481}" name="Employee ID"/>
    <tableColumn id="3" xr3:uid="{5AF6660D-CAF2-4635-A8D5-DAAAB9F6865B}" name="Clean Employee Name"/>
    <tableColumn id="4" xr3:uid="{78C1F615-046A-4F5C-9079-BDA53465B4EE}" name="Clean Department"/>
    <tableColumn id="5" xr3:uid="{80312EA6-4097-4742-8DBF-19F4FA2C0E03}" name="Date" dataDxfId="1"/>
    <tableColumn id="6" xr3:uid="{D0D6541E-FE96-4FF8-A51F-2BDD33C12131}" name="Check-in"/>
    <tableColumn id="7" xr3:uid="{CF8EC4F6-D510-466E-9F01-88D1DB38F023}" name="Check-out"/>
    <tableColumn id="8" xr3:uid="{2BF8637E-A567-45C5-BC3D-593BBDE932D6}" name="Clean Status"/>
    <tableColumn id="9" xr3:uid="{A2917765-D2B0-4061-BE61-960F6AF67F27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9AE1F29-6543-42E2-B0DC-115C0E09EA34}">
  <we:reference id="22ff87a5-132f-4d52-9e97-94d888e4dd91" version="3.8.0.0" store="EXCatalog" storeType="EXCatalog"/>
  <we:alternateReferences>
    <we:reference id="WA104380050" version="3.8.0.0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F75DE-A7DE-4FB5-9958-A3A063F01D0D}">
  <dimension ref="A1:B7"/>
  <sheetViews>
    <sheetView workbookViewId="0">
      <selection activeCell="B15" sqref="B15"/>
    </sheetView>
  </sheetViews>
  <sheetFormatPr defaultRowHeight="14.5" x14ac:dyDescent="0.35"/>
  <cols>
    <col min="1" max="1" width="12.36328125" bestFit="1" customWidth="1"/>
    <col min="2" max="2" width="20.7265625" bestFit="1" customWidth="1"/>
  </cols>
  <sheetData>
    <row r="1" spans="1:2" x14ac:dyDescent="0.35">
      <c r="A1" s="11" t="s">
        <v>265</v>
      </c>
      <c r="B1" t="s">
        <v>264</v>
      </c>
    </row>
    <row r="2" spans="1:2" x14ac:dyDescent="0.35">
      <c r="A2" s="12" t="s">
        <v>28</v>
      </c>
      <c r="B2" s="10">
        <v>23</v>
      </c>
    </row>
    <row r="3" spans="1:2" x14ac:dyDescent="0.35">
      <c r="A3" s="12" t="s">
        <v>48</v>
      </c>
      <c r="B3" s="10">
        <v>25</v>
      </c>
    </row>
    <row r="4" spans="1:2" x14ac:dyDescent="0.35">
      <c r="A4" s="12" t="s">
        <v>54</v>
      </c>
      <c r="B4" s="10">
        <v>32</v>
      </c>
    </row>
    <row r="5" spans="1:2" x14ac:dyDescent="0.35">
      <c r="A5" s="12" t="s">
        <v>13</v>
      </c>
      <c r="B5" s="10">
        <v>80</v>
      </c>
    </row>
    <row r="6" spans="1:2" x14ac:dyDescent="0.35">
      <c r="A6" s="12" t="s">
        <v>37</v>
      </c>
      <c r="B6" s="10">
        <v>20</v>
      </c>
    </row>
    <row r="7" spans="1:2" x14ac:dyDescent="0.35">
      <c r="A7" s="12" t="s">
        <v>266</v>
      </c>
      <c r="B7" s="10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A9764-8AA4-4A57-BB3D-E5516FFC5350}">
  <dimension ref="A1:B7"/>
  <sheetViews>
    <sheetView zoomScale="76" workbookViewId="0">
      <selection activeCell="A20" sqref="A20"/>
    </sheetView>
  </sheetViews>
  <sheetFormatPr defaultRowHeight="14.5" x14ac:dyDescent="0.35"/>
  <cols>
    <col min="1" max="1" width="12.36328125" bestFit="1" customWidth="1"/>
    <col min="2" max="2" width="20.7265625" bestFit="1" customWidth="1"/>
  </cols>
  <sheetData>
    <row r="1" spans="1:2" x14ac:dyDescent="0.35">
      <c r="A1" s="11" t="s">
        <v>265</v>
      </c>
      <c r="B1" t="s">
        <v>264</v>
      </c>
    </row>
    <row r="2" spans="1:2" x14ac:dyDescent="0.35">
      <c r="A2" s="12" t="s">
        <v>21</v>
      </c>
      <c r="B2" s="10">
        <v>43</v>
      </c>
    </row>
    <row r="3" spans="1:2" x14ac:dyDescent="0.35">
      <c r="A3" s="12" t="s">
        <v>17</v>
      </c>
      <c r="B3" s="10">
        <v>24</v>
      </c>
    </row>
    <row r="4" spans="1:2" x14ac:dyDescent="0.35">
      <c r="A4" s="12" t="s">
        <v>33</v>
      </c>
      <c r="B4" s="10">
        <v>29</v>
      </c>
    </row>
    <row r="5" spans="1:2" x14ac:dyDescent="0.35">
      <c r="A5" s="12" t="s">
        <v>12</v>
      </c>
      <c r="B5" s="10">
        <v>46</v>
      </c>
    </row>
    <row r="6" spans="1:2" x14ac:dyDescent="0.35">
      <c r="A6" s="12" t="s">
        <v>62</v>
      </c>
      <c r="B6" s="10">
        <v>38</v>
      </c>
    </row>
    <row r="7" spans="1:2" x14ac:dyDescent="0.35">
      <c r="A7" s="12" t="s">
        <v>266</v>
      </c>
      <c r="B7" s="10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294A5-CBE6-41A3-A2A2-FA12F47101D6}">
  <dimension ref="A1:G8"/>
  <sheetViews>
    <sheetView zoomScale="65" workbookViewId="0">
      <selection activeCell="A25" sqref="A25"/>
    </sheetView>
  </sheetViews>
  <sheetFormatPr defaultRowHeight="14.5" x14ac:dyDescent="0.35"/>
  <cols>
    <col min="1" max="1" width="20.7265625" bestFit="1" customWidth="1"/>
    <col min="2" max="2" width="15.26953125" bestFit="1" customWidth="1"/>
    <col min="3" max="3" width="4.36328125" bestFit="1" customWidth="1"/>
    <col min="4" max="4" width="5.54296875" bestFit="1" customWidth="1"/>
    <col min="5" max="5" width="7.26953125" bestFit="1" customWidth="1"/>
    <col min="6" max="6" width="4" bestFit="1" customWidth="1"/>
    <col min="7" max="7" width="10.7265625" bestFit="1" customWidth="1"/>
  </cols>
  <sheetData>
    <row r="1" spans="1:7" x14ac:dyDescent="0.35">
      <c r="A1" s="11" t="s">
        <v>264</v>
      </c>
      <c r="B1" s="11" t="s">
        <v>267</v>
      </c>
    </row>
    <row r="2" spans="1:7" x14ac:dyDescent="0.35">
      <c r="A2" s="11" t="s">
        <v>265</v>
      </c>
      <c r="B2" t="s">
        <v>28</v>
      </c>
      <c r="C2" t="s">
        <v>48</v>
      </c>
      <c r="D2" t="s">
        <v>54</v>
      </c>
      <c r="E2" t="s">
        <v>13</v>
      </c>
      <c r="F2" t="s">
        <v>37</v>
      </c>
      <c r="G2" t="s">
        <v>266</v>
      </c>
    </row>
    <row r="3" spans="1:7" x14ac:dyDescent="0.35">
      <c r="A3" s="12" t="s">
        <v>21</v>
      </c>
      <c r="B3" s="10">
        <v>5</v>
      </c>
      <c r="C3" s="10">
        <v>3</v>
      </c>
      <c r="D3" s="10">
        <v>9</v>
      </c>
      <c r="E3" s="10">
        <v>17</v>
      </c>
      <c r="F3" s="10">
        <v>9</v>
      </c>
      <c r="G3" s="10">
        <v>43</v>
      </c>
    </row>
    <row r="4" spans="1:7" x14ac:dyDescent="0.35">
      <c r="A4" s="12" t="s">
        <v>17</v>
      </c>
      <c r="B4" s="10">
        <v>3</v>
      </c>
      <c r="C4" s="10">
        <v>3</v>
      </c>
      <c r="D4" s="10">
        <v>2</v>
      </c>
      <c r="E4" s="10">
        <v>15</v>
      </c>
      <c r="F4" s="10">
        <v>1</v>
      </c>
      <c r="G4" s="10">
        <v>24</v>
      </c>
    </row>
    <row r="5" spans="1:7" x14ac:dyDescent="0.35">
      <c r="A5" s="12" t="s">
        <v>33</v>
      </c>
      <c r="B5" s="10">
        <v>5</v>
      </c>
      <c r="C5" s="10">
        <v>4</v>
      </c>
      <c r="D5" s="10">
        <v>4</v>
      </c>
      <c r="E5" s="10">
        <v>13</v>
      </c>
      <c r="F5" s="10">
        <v>3</v>
      </c>
      <c r="G5" s="10">
        <v>29</v>
      </c>
    </row>
    <row r="6" spans="1:7" x14ac:dyDescent="0.35">
      <c r="A6" s="12" t="s">
        <v>12</v>
      </c>
      <c r="B6" s="10">
        <v>6</v>
      </c>
      <c r="C6" s="10">
        <v>12</v>
      </c>
      <c r="D6" s="10">
        <v>6</v>
      </c>
      <c r="E6" s="10">
        <v>21</v>
      </c>
      <c r="F6" s="10">
        <v>1</v>
      </c>
      <c r="G6" s="10">
        <v>46</v>
      </c>
    </row>
    <row r="7" spans="1:7" x14ac:dyDescent="0.35">
      <c r="A7" s="12" t="s">
        <v>62</v>
      </c>
      <c r="B7" s="10">
        <v>4</v>
      </c>
      <c r="C7" s="10">
        <v>3</v>
      </c>
      <c r="D7" s="10">
        <v>11</v>
      </c>
      <c r="E7" s="10">
        <v>14</v>
      </c>
      <c r="F7" s="10">
        <v>6</v>
      </c>
      <c r="G7" s="10">
        <v>38</v>
      </c>
    </row>
    <row r="8" spans="1:7" x14ac:dyDescent="0.35">
      <c r="A8" s="12" t="s">
        <v>266</v>
      </c>
      <c r="B8" s="10">
        <v>23</v>
      </c>
      <c r="C8" s="10">
        <v>25</v>
      </c>
      <c r="D8" s="10">
        <v>32</v>
      </c>
      <c r="E8" s="10">
        <v>80</v>
      </c>
      <c r="F8" s="10">
        <v>20</v>
      </c>
      <c r="G8" s="10">
        <v>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416C7-37FD-47B8-BE30-CA5E0CF5F764}">
  <dimension ref="A1:P13"/>
  <sheetViews>
    <sheetView tabSelected="1" zoomScale="51" workbookViewId="0">
      <selection activeCell="M11" sqref="M11"/>
    </sheetView>
  </sheetViews>
  <sheetFormatPr defaultRowHeight="14.5" x14ac:dyDescent="0.35"/>
  <cols>
    <col min="1" max="1" width="10.7265625" customWidth="1"/>
  </cols>
  <sheetData>
    <row r="1" spans="1:16" ht="31" x14ac:dyDescent="0.7">
      <c r="A1" s="16" t="s">
        <v>268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23"/>
    </row>
    <row r="3" spans="1:16" ht="21" x14ac:dyDescent="0.5">
      <c r="E3" s="17" t="s">
        <v>269</v>
      </c>
      <c r="F3" s="18"/>
      <c r="G3" s="18"/>
      <c r="I3" s="13" t="s">
        <v>271</v>
      </c>
      <c r="J3" s="13"/>
      <c r="K3" s="13"/>
    </row>
    <row r="4" spans="1:16" ht="21" x14ac:dyDescent="0.5">
      <c r="E4" s="17">
        <f>COUNTA(tb1Absensi[Attendance ID])</f>
        <v>180</v>
      </c>
      <c r="F4" s="17"/>
      <c r="G4" s="17"/>
      <c r="I4" s="13">
        <f>COUNTIF(tb1Absensi[Clean Status],"Present")</f>
        <v>80</v>
      </c>
      <c r="J4" s="13"/>
      <c r="K4" s="13"/>
    </row>
    <row r="5" spans="1:16" x14ac:dyDescent="0.35">
      <c r="E5" s="18" t="s">
        <v>270</v>
      </c>
      <c r="F5" s="18"/>
      <c r="G5" s="18"/>
      <c r="I5" s="19" t="s">
        <v>272</v>
      </c>
      <c r="J5" s="19"/>
      <c r="K5" s="19"/>
    </row>
    <row r="7" spans="1:16" ht="21" x14ac:dyDescent="0.5">
      <c r="E7" s="14" t="s">
        <v>273</v>
      </c>
      <c r="F7" s="15"/>
      <c r="G7" s="15"/>
      <c r="I7" s="21" t="s">
        <v>275</v>
      </c>
      <c r="J7" s="21"/>
      <c r="K7" s="21"/>
    </row>
    <row r="8" spans="1:16" ht="21" x14ac:dyDescent="0.5">
      <c r="E8" s="14">
        <f>COUNTIF(tb1Absensi[Clean Status],"Late")</f>
        <v>25</v>
      </c>
      <c r="F8" s="14"/>
      <c r="G8" s="14"/>
      <c r="I8" s="21">
        <f>COUNTIF(tb1Absensi[Clean Status],"Absent")</f>
        <v>23</v>
      </c>
      <c r="J8" s="21"/>
      <c r="K8" s="21"/>
    </row>
    <row r="9" spans="1:16" x14ac:dyDescent="0.35">
      <c r="E9" s="20" t="s">
        <v>274</v>
      </c>
      <c r="F9" s="20"/>
      <c r="G9" s="20"/>
      <c r="I9" s="22" t="s">
        <v>276</v>
      </c>
      <c r="J9" s="22"/>
      <c r="K9" s="22"/>
    </row>
    <row r="11" spans="1:16" ht="23.5" x14ac:dyDescent="0.55000000000000004">
      <c r="F11" s="24" t="s">
        <v>277</v>
      </c>
      <c r="G11" s="24"/>
      <c r="H11" s="24"/>
      <c r="I11" s="24"/>
      <c r="J11" s="24"/>
    </row>
    <row r="12" spans="1:16" ht="23.5" x14ac:dyDescent="0.55000000000000004">
      <c r="F12" s="26">
        <f>COUNTIF(tb1Absensi[Clean Status],"Late")/COUNTA(tb1Absensi[Attendance ID])</f>
        <v>0.1388888888888889</v>
      </c>
      <c r="G12" s="26"/>
      <c r="H12" s="26"/>
      <c r="I12" s="26"/>
      <c r="J12" s="26"/>
    </row>
    <row r="13" spans="1:16" x14ac:dyDescent="0.35">
      <c r="F13" s="25" t="s">
        <v>278</v>
      </c>
      <c r="G13" s="25"/>
      <c r="H13" s="25"/>
      <c r="I13" s="25"/>
      <c r="J13" s="25"/>
    </row>
  </sheetData>
  <mergeCells count="16">
    <mergeCell ref="F13:J13"/>
    <mergeCell ref="F11:J11"/>
    <mergeCell ref="F12:J12"/>
    <mergeCell ref="I7:K7"/>
    <mergeCell ref="I8:K8"/>
    <mergeCell ref="I9:K9"/>
    <mergeCell ref="A1:O1"/>
    <mergeCell ref="I3:K3"/>
    <mergeCell ref="I4:K4"/>
    <mergeCell ref="I5:K5"/>
    <mergeCell ref="E7:G7"/>
    <mergeCell ref="E8:G8"/>
    <mergeCell ref="E9:G9"/>
    <mergeCell ref="E3:G3"/>
    <mergeCell ref="E4:G4"/>
    <mergeCell ref="E5:G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8FB6D-9ACD-4D92-8203-A8DC63C14108}">
  <dimension ref="A1:J181"/>
  <sheetViews>
    <sheetView topLeftCell="A2" workbookViewId="0">
      <selection activeCell="A2" sqref="A2"/>
    </sheetView>
  </sheetViews>
  <sheetFormatPr defaultRowHeight="14.5" x14ac:dyDescent="0.35"/>
  <cols>
    <col min="1" max="1" width="14.81640625" customWidth="1"/>
    <col min="2" max="2" width="13.26953125" customWidth="1"/>
    <col min="3" max="3" width="21.453125" customWidth="1"/>
    <col min="4" max="4" width="18.1796875" customWidth="1"/>
    <col min="5" max="5" width="10.453125" style="5" bestFit="1" customWidth="1"/>
    <col min="6" max="7" width="17.81640625" bestFit="1" customWidth="1"/>
    <col min="8" max="8" width="13.1796875" customWidth="1"/>
    <col min="9" max="10" width="17.90625" bestFit="1" customWidth="1"/>
  </cols>
  <sheetData>
    <row r="1" spans="1:10" x14ac:dyDescent="0.35">
      <c r="A1" s="7" t="s">
        <v>0</v>
      </c>
      <c r="B1" s="7" t="s">
        <v>1</v>
      </c>
      <c r="C1" s="7" t="s">
        <v>259</v>
      </c>
      <c r="D1" s="8" t="s">
        <v>260</v>
      </c>
      <c r="E1" s="9" t="s">
        <v>4</v>
      </c>
      <c r="F1" s="7" t="s">
        <v>5</v>
      </c>
      <c r="G1" s="7" t="s">
        <v>6</v>
      </c>
      <c r="H1" s="7" t="s">
        <v>261</v>
      </c>
      <c r="I1" s="7" t="s">
        <v>8</v>
      </c>
      <c r="J1" s="6"/>
    </row>
    <row r="2" spans="1:10" x14ac:dyDescent="0.35">
      <c r="A2" t="s">
        <v>9</v>
      </c>
      <c r="B2" t="s">
        <v>10</v>
      </c>
      <c r="C2" t="s">
        <v>11</v>
      </c>
      <c r="D2" t="s">
        <v>12</v>
      </c>
      <c r="E2" s="5">
        <v>46269</v>
      </c>
      <c r="F2" s="3">
        <v>46269.336805555555</v>
      </c>
      <c r="G2" s="3">
        <v>46269.680555555547</v>
      </c>
      <c r="H2" t="s">
        <v>13</v>
      </c>
    </row>
    <row r="3" spans="1:10" x14ac:dyDescent="0.35">
      <c r="A3" t="s">
        <v>14</v>
      </c>
      <c r="B3" t="s">
        <v>15</v>
      </c>
      <c r="C3" t="s">
        <v>16</v>
      </c>
      <c r="D3" t="s">
        <v>17</v>
      </c>
      <c r="E3" s="5">
        <v>46289</v>
      </c>
      <c r="F3" s="3">
        <v>46289.34375</v>
      </c>
      <c r="G3" s="3">
        <v>46289.680555555547</v>
      </c>
      <c r="H3" t="s">
        <v>13</v>
      </c>
    </row>
    <row r="4" spans="1:10" x14ac:dyDescent="0.35">
      <c r="A4" t="s">
        <v>18</v>
      </c>
      <c r="B4" t="s">
        <v>19</v>
      </c>
      <c r="C4" t="s">
        <v>20</v>
      </c>
      <c r="D4" t="s">
        <v>21</v>
      </c>
      <c r="E4" s="5">
        <v>46267</v>
      </c>
      <c r="F4" s="3">
        <v>46267.333333333336</v>
      </c>
      <c r="G4" s="3">
        <v>46267.675694444442</v>
      </c>
      <c r="H4" t="s">
        <v>13</v>
      </c>
    </row>
    <row r="5" spans="1:10" x14ac:dyDescent="0.35">
      <c r="A5" t="s">
        <v>22</v>
      </c>
      <c r="B5" t="s">
        <v>23</v>
      </c>
      <c r="C5" t="s">
        <v>24</v>
      </c>
      <c r="D5" t="s">
        <v>62</v>
      </c>
      <c r="E5" s="5">
        <v>46286</v>
      </c>
      <c r="F5" s="3">
        <v>46286.34375</v>
      </c>
      <c r="G5" s="3">
        <v>46286.685416666667</v>
      </c>
      <c r="H5" t="s">
        <v>13</v>
      </c>
    </row>
    <row r="6" spans="1:10" x14ac:dyDescent="0.35">
      <c r="A6" t="s">
        <v>27</v>
      </c>
      <c r="B6" t="s">
        <v>10</v>
      </c>
      <c r="C6" t="s">
        <v>11</v>
      </c>
      <c r="D6" t="s">
        <v>12</v>
      </c>
      <c r="E6" s="5">
        <v>46288</v>
      </c>
      <c r="H6" t="s">
        <v>28</v>
      </c>
      <c r="I6" t="s">
        <v>29</v>
      </c>
    </row>
    <row r="7" spans="1:10" x14ac:dyDescent="0.35">
      <c r="A7" t="s">
        <v>30</v>
      </c>
      <c r="B7" t="s">
        <v>31</v>
      </c>
      <c r="C7" t="s">
        <v>32</v>
      </c>
      <c r="D7" t="s">
        <v>33</v>
      </c>
      <c r="E7" s="5">
        <v>46280</v>
      </c>
      <c r="H7" t="s">
        <v>28</v>
      </c>
    </row>
    <row r="8" spans="1:10" x14ac:dyDescent="0.35">
      <c r="A8" t="s">
        <v>34</v>
      </c>
      <c r="B8" t="s">
        <v>35</v>
      </c>
      <c r="C8" t="s">
        <v>36</v>
      </c>
      <c r="D8" t="s">
        <v>21</v>
      </c>
      <c r="E8" s="5">
        <v>46290</v>
      </c>
      <c r="H8" t="s">
        <v>37</v>
      </c>
    </row>
    <row r="9" spans="1:10" x14ac:dyDescent="0.35">
      <c r="A9" t="s">
        <v>38</v>
      </c>
      <c r="B9" t="s">
        <v>39</v>
      </c>
      <c r="C9" t="s">
        <v>40</v>
      </c>
      <c r="D9" t="s">
        <v>21</v>
      </c>
      <c r="E9" s="5">
        <v>46279</v>
      </c>
      <c r="F9" s="3">
        <v>46279.336805555555</v>
      </c>
      <c r="G9" s="3">
        <v>46279.676388888889</v>
      </c>
      <c r="H9" t="s">
        <v>13</v>
      </c>
    </row>
    <row r="10" spans="1:10" x14ac:dyDescent="0.35">
      <c r="A10" t="s">
        <v>41</v>
      </c>
      <c r="B10" t="s">
        <v>42</v>
      </c>
      <c r="C10" t="s">
        <v>43</v>
      </c>
      <c r="D10" t="s">
        <v>12</v>
      </c>
      <c r="E10" s="5">
        <v>46269</v>
      </c>
      <c r="F10" s="3">
        <v>46269.340277777781</v>
      </c>
      <c r="G10" s="3">
        <v>46269.677777777782</v>
      </c>
      <c r="H10" t="s">
        <v>13</v>
      </c>
    </row>
    <row r="11" spans="1:10" x14ac:dyDescent="0.35">
      <c r="A11" t="s">
        <v>44</v>
      </c>
      <c r="B11" t="s">
        <v>42</v>
      </c>
      <c r="C11" t="s">
        <v>43</v>
      </c>
      <c r="D11" t="s">
        <v>12</v>
      </c>
      <c r="E11" s="5">
        <v>46286</v>
      </c>
      <c r="F11" s="3">
        <v>46286.333333333336</v>
      </c>
      <c r="G11" s="3">
        <v>46286.686805555553</v>
      </c>
      <c r="H11" t="s">
        <v>13</v>
      </c>
    </row>
    <row r="12" spans="1:10" x14ac:dyDescent="0.35">
      <c r="A12" t="s">
        <v>45</v>
      </c>
      <c r="B12" t="s">
        <v>46</v>
      </c>
      <c r="C12" t="s">
        <v>47</v>
      </c>
      <c r="D12" t="s">
        <v>12</v>
      </c>
      <c r="E12" s="5">
        <v>46295</v>
      </c>
      <c r="F12" s="3">
        <v>46295.350694444445</v>
      </c>
      <c r="G12" s="3">
        <v>46295.70208333333</v>
      </c>
      <c r="H12" t="s">
        <v>48</v>
      </c>
    </row>
    <row r="13" spans="1:10" x14ac:dyDescent="0.35">
      <c r="A13" t="s">
        <v>49</v>
      </c>
      <c r="B13" t="s">
        <v>50</v>
      </c>
      <c r="C13" t="s">
        <v>51</v>
      </c>
      <c r="D13" t="s">
        <v>17</v>
      </c>
      <c r="E13" s="5">
        <v>46294</v>
      </c>
      <c r="H13" t="s">
        <v>37</v>
      </c>
    </row>
    <row r="14" spans="1:10" x14ac:dyDescent="0.35">
      <c r="A14" t="s">
        <v>53</v>
      </c>
      <c r="B14" t="s">
        <v>50</v>
      </c>
      <c r="C14" t="s">
        <v>51</v>
      </c>
      <c r="D14" t="s">
        <v>17</v>
      </c>
      <c r="E14" s="5">
        <v>46272</v>
      </c>
      <c r="H14" t="s">
        <v>54</v>
      </c>
    </row>
    <row r="15" spans="1:10" x14ac:dyDescent="0.35">
      <c r="A15" t="s">
        <v>55</v>
      </c>
      <c r="B15" t="s">
        <v>35</v>
      </c>
      <c r="C15" t="s">
        <v>36</v>
      </c>
      <c r="D15" t="s">
        <v>21</v>
      </c>
      <c r="E15" s="5">
        <v>46287</v>
      </c>
      <c r="F15" s="3">
        <v>46324.336805555555</v>
      </c>
      <c r="G15" s="3">
        <v>46287.673611111109</v>
      </c>
      <c r="H15" t="s">
        <v>13</v>
      </c>
    </row>
    <row r="16" spans="1:10" x14ac:dyDescent="0.35">
      <c r="A16" t="s">
        <v>57</v>
      </c>
      <c r="B16" t="s">
        <v>46</v>
      </c>
      <c r="C16" t="s">
        <v>47</v>
      </c>
      <c r="D16" t="s">
        <v>12</v>
      </c>
      <c r="E16" s="5">
        <v>46279</v>
      </c>
      <c r="F16" s="3">
        <v>46279.340277777781</v>
      </c>
      <c r="G16" s="3">
        <v>46279.701388888891</v>
      </c>
      <c r="H16" t="s">
        <v>13</v>
      </c>
    </row>
    <row r="17" spans="1:9" x14ac:dyDescent="0.35">
      <c r="A17" t="s">
        <v>58</v>
      </c>
      <c r="B17" t="s">
        <v>15</v>
      </c>
      <c r="C17" t="s">
        <v>16</v>
      </c>
      <c r="D17" t="s">
        <v>17</v>
      </c>
      <c r="E17" s="5">
        <v>46279</v>
      </c>
      <c r="F17" s="3">
        <v>46279.334027777775</v>
      </c>
      <c r="G17" s="3">
        <v>46279.696527777778</v>
      </c>
      <c r="H17" t="s">
        <v>13</v>
      </c>
    </row>
    <row r="18" spans="1:9" x14ac:dyDescent="0.35">
      <c r="A18" t="s">
        <v>59</v>
      </c>
      <c r="B18" t="s">
        <v>39</v>
      </c>
      <c r="C18" t="s">
        <v>40</v>
      </c>
      <c r="D18" t="s">
        <v>21</v>
      </c>
      <c r="E18" s="5">
        <v>46295</v>
      </c>
      <c r="H18" t="s">
        <v>54</v>
      </c>
    </row>
    <row r="19" spans="1:9" x14ac:dyDescent="0.35">
      <c r="A19" t="s">
        <v>60</v>
      </c>
      <c r="B19" t="s">
        <v>46</v>
      </c>
      <c r="C19" t="s">
        <v>47</v>
      </c>
      <c r="D19" t="s">
        <v>12</v>
      </c>
      <c r="E19" s="5">
        <v>46286</v>
      </c>
      <c r="H19" t="s">
        <v>54</v>
      </c>
    </row>
    <row r="20" spans="1:9" x14ac:dyDescent="0.35">
      <c r="A20" t="s">
        <v>61</v>
      </c>
      <c r="B20" t="s">
        <v>23</v>
      </c>
      <c r="C20" t="s">
        <v>24</v>
      </c>
      <c r="D20" t="s">
        <v>62</v>
      </c>
      <c r="E20" s="5">
        <v>46289</v>
      </c>
      <c r="F20" s="3">
        <v>46324.334027777775</v>
      </c>
      <c r="G20" s="3">
        <v>46289.6875</v>
      </c>
      <c r="H20" t="s">
        <v>13</v>
      </c>
    </row>
    <row r="21" spans="1:9" x14ac:dyDescent="0.35">
      <c r="A21" t="s">
        <v>63</v>
      </c>
      <c r="B21" t="s">
        <v>64</v>
      </c>
      <c r="C21" t="s">
        <v>65</v>
      </c>
      <c r="D21" t="s">
        <v>62</v>
      </c>
      <c r="E21" s="5">
        <v>46295</v>
      </c>
      <c r="H21" t="s">
        <v>54</v>
      </c>
      <c r="I21" t="s">
        <v>66</v>
      </c>
    </row>
    <row r="22" spans="1:9" x14ac:dyDescent="0.35">
      <c r="A22" t="s">
        <v>67</v>
      </c>
      <c r="B22" t="s">
        <v>23</v>
      </c>
      <c r="C22" t="s">
        <v>24</v>
      </c>
      <c r="D22" t="s">
        <v>62</v>
      </c>
      <c r="E22" s="5">
        <v>46273</v>
      </c>
      <c r="H22" t="s">
        <v>54</v>
      </c>
    </row>
    <row r="23" spans="1:9" x14ac:dyDescent="0.35">
      <c r="A23" t="s">
        <v>68</v>
      </c>
      <c r="B23" t="s">
        <v>35</v>
      </c>
      <c r="C23" t="s">
        <v>36</v>
      </c>
      <c r="D23" t="s">
        <v>21</v>
      </c>
      <c r="E23" s="5">
        <v>46273</v>
      </c>
      <c r="H23" t="s">
        <v>37</v>
      </c>
    </row>
    <row r="24" spans="1:9" x14ac:dyDescent="0.35">
      <c r="A24" t="s">
        <v>69</v>
      </c>
      <c r="B24" t="s">
        <v>42</v>
      </c>
      <c r="C24" t="s">
        <v>43</v>
      </c>
      <c r="D24" t="s">
        <v>12</v>
      </c>
      <c r="E24" s="5">
        <v>46279</v>
      </c>
      <c r="F24" s="3">
        <v>46279.333333333336</v>
      </c>
      <c r="G24" s="3">
        <v>46279.675694444442</v>
      </c>
      <c r="H24" t="s">
        <v>13</v>
      </c>
    </row>
    <row r="25" spans="1:9" x14ac:dyDescent="0.35">
      <c r="A25" t="s">
        <v>70</v>
      </c>
      <c r="B25" t="s">
        <v>39</v>
      </c>
      <c r="C25" t="s">
        <v>40</v>
      </c>
      <c r="D25" t="s">
        <v>21</v>
      </c>
      <c r="E25" s="5">
        <v>46276</v>
      </c>
      <c r="F25" s="3">
        <v>46276.340277777781</v>
      </c>
      <c r="G25" s="3">
        <v>46276.690972222219</v>
      </c>
      <c r="H25" t="s">
        <v>13</v>
      </c>
    </row>
    <row r="26" spans="1:9" x14ac:dyDescent="0.35">
      <c r="A26" t="s">
        <v>71</v>
      </c>
      <c r="B26" t="s">
        <v>72</v>
      </c>
      <c r="C26" t="s">
        <v>73</v>
      </c>
      <c r="D26" t="s">
        <v>33</v>
      </c>
      <c r="E26" s="5">
        <v>46272</v>
      </c>
      <c r="F26" s="3">
        <v>46272.334027777775</v>
      </c>
      <c r="G26" s="3">
        <v>46272.677777777782</v>
      </c>
      <c r="H26" t="s">
        <v>13</v>
      </c>
    </row>
    <row r="27" spans="1:9" x14ac:dyDescent="0.35">
      <c r="A27" t="s">
        <v>74</v>
      </c>
      <c r="B27" t="s">
        <v>23</v>
      </c>
      <c r="C27" t="s">
        <v>24</v>
      </c>
      <c r="D27" t="s">
        <v>62</v>
      </c>
      <c r="E27" s="5">
        <v>46283</v>
      </c>
      <c r="F27" s="3">
        <v>46283.34375</v>
      </c>
      <c r="G27" s="3">
        <v>46283.695833333331</v>
      </c>
      <c r="H27" t="s">
        <v>13</v>
      </c>
    </row>
    <row r="28" spans="1:9" x14ac:dyDescent="0.35">
      <c r="A28" t="s">
        <v>76</v>
      </c>
      <c r="B28" t="s">
        <v>19</v>
      </c>
      <c r="C28" t="s">
        <v>20</v>
      </c>
      <c r="D28" t="s">
        <v>21</v>
      </c>
      <c r="E28" s="5">
        <v>46279</v>
      </c>
      <c r="F28" s="3">
        <v>46279.334027777775</v>
      </c>
      <c r="G28" s="3">
        <v>46279.689583333333</v>
      </c>
      <c r="H28" t="s">
        <v>13</v>
      </c>
    </row>
    <row r="29" spans="1:9" x14ac:dyDescent="0.35">
      <c r="A29" t="s">
        <v>77</v>
      </c>
      <c r="B29" t="s">
        <v>46</v>
      </c>
      <c r="C29" t="s">
        <v>47</v>
      </c>
      <c r="D29" t="s">
        <v>12</v>
      </c>
      <c r="E29" s="5">
        <v>46290</v>
      </c>
      <c r="F29" s="3">
        <v>46290.333333333336</v>
      </c>
      <c r="G29" s="3">
        <v>46290.67291666667</v>
      </c>
      <c r="H29" t="s">
        <v>13</v>
      </c>
    </row>
    <row r="30" spans="1:9" x14ac:dyDescent="0.35">
      <c r="A30" t="s">
        <v>78</v>
      </c>
      <c r="B30" t="s">
        <v>15</v>
      </c>
      <c r="C30" t="s">
        <v>16</v>
      </c>
      <c r="D30" t="s">
        <v>17</v>
      </c>
      <c r="E30" s="5">
        <v>46293</v>
      </c>
      <c r="H30" t="s">
        <v>54</v>
      </c>
      <c r="I30" t="s">
        <v>29</v>
      </c>
    </row>
    <row r="31" spans="1:9" x14ac:dyDescent="0.35">
      <c r="A31" t="s">
        <v>79</v>
      </c>
      <c r="B31" t="s">
        <v>50</v>
      </c>
      <c r="C31" t="s">
        <v>51</v>
      </c>
      <c r="D31" t="s">
        <v>17</v>
      </c>
      <c r="E31" s="5">
        <v>46268</v>
      </c>
      <c r="F31" s="3">
        <v>46268.361111111109</v>
      </c>
      <c r="G31" s="3">
        <v>46268.705555555563</v>
      </c>
      <c r="H31" t="s">
        <v>48</v>
      </c>
    </row>
    <row r="32" spans="1:9" x14ac:dyDescent="0.35">
      <c r="A32" t="s">
        <v>80</v>
      </c>
      <c r="B32" t="s">
        <v>23</v>
      </c>
      <c r="C32" t="s">
        <v>24</v>
      </c>
      <c r="D32" t="s">
        <v>62</v>
      </c>
      <c r="E32" s="5">
        <v>46293</v>
      </c>
      <c r="F32" s="3">
        <v>46324.333333333336</v>
      </c>
      <c r="G32" s="3">
        <v>46293.696527777778</v>
      </c>
      <c r="H32" t="s">
        <v>13</v>
      </c>
    </row>
    <row r="33" spans="1:9" x14ac:dyDescent="0.35">
      <c r="A33" t="s">
        <v>81</v>
      </c>
      <c r="B33" t="s">
        <v>64</v>
      </c>
      <c r="C33" t="s">
        <v>65</v>
      </c>
      <c r="D33" t="s">
        <v>62</v>
      </c>
      <c r="E33" s="5">
        <v>46290</v>
      </c>
      <c r="H33" t="s">
        <v>54</v>
      </c>
    </row>
    <row r="34" spans="1:9" x14ac:dyDescent="0.35">
      <c r="A34" t="s">
        <v>82</v>
      </c>
      <c r="B34" t="s">
        <v>46</v>
      </c>
      <c r="C34" t="s">
        <v>47</v>
      </c>
      <c r="D34" t="s">
        <v>12</v>
      </c>
      <c r="E34" s="5">
        <v>46275</v>
      </c>
      <c r="F34" s="3">
        <v>46275.361111111109</v>
      </c>
      <c r="G34" s="3">
        <v>46275.694444444453</v>
      </c>
      <c r="H34" t="s">
        <v>48</v>
      </c>
    </row>
    <row r="35" spans="1:9" x14ac:dyDescent="0.35">
      <c r="A35" t="s">
        <v>85</v>
      </c>
      <c r="B35" t="s">
        <v>39</v>
      </c>
      <c r="C35" t="s">
        <v>40</v>
      </c>
      <c r="D35" t="s">
        <v>21</v>
      </c>
      <c r="E35" s="5">
        <v>46274</v>
      </c>
      <c r="H35" t="s">
        <v>28</v>
      </c>
    </row>
    <row r="36" spans="1:9" x14ac:dyDescent="0.35">
      <c r="A36" t="s">
        <v>86</v>
      </c>
      <c r="B36" t="s">
        <v>23</v>
      </c>
      <c r="C36" t="s">
        <v>24</v>
      </c>
      <c r="D36" t="s">
        <v>62</v>
      </c>
      <c r="E36" s="5">
        <v>46295</v>
      </c>
      <c r="F36" s="3">
        <v>46295.336805555555</v>
      </c>
      <c r="G36" s="3">
        <v>46295.697916666657</v>
      </c>
      <c r="H36" t="s">
        <v>13</v>
      </c>
    </row>
    <row r="37" spans="1:9" x14ac:dyDescent="0.35">
      <c r="A37" t="s">
        <v>87</v>
      </c>
      <c r="B37" t="s">
        <v>50</v>
      </c>
      <c r="C37" t="s">
        <v>51</v>
      </c>
      <c r="D37" t="s">
        <v>17</v>
      </c>
      <c r="E37" s="5">
        <v>46272</v>
      </c>
      <c r="F37" s="3">
        <v>46272.336805555555</v>
      </c>
      <c r="G37" s="3">
        <v>46272.677083333343</v>
      </c>
      <c r="H37" t="s">
        <v>13</v>
      </c>
    </row>
    <row r="38" spans="1:9" x14ac:dyDescent="0.35">
      <c r="A38" t="s">
        <v>88</v>
      </c>
      <c r="B38" t="s">
        <v>23</v>
      </c>
      <c r="C38" t="s">
        <v>24</v>
      </c>
      <c r="D38" t="s">
        <v>62</v>
      </c>
      <c r="E38" s="5">
        <v>46295</v>
      </c>
      <c r="F38" s="3">
        <v>46295.34375</v>
      </c>
      <c r="G38" s="3">
        <v>46295.690972222219</v>
      </c>
      <c r="H38" t="s">
        <v>13</v>
      </c>
    </row>
    <row r="39" spans="1:9" x14ac:dyDescent="0.35">
      <c r="A39" t="s">
        <v>89</v>
      </c>
      <c r="B39" t="s">
        <v>35</v>
      </c>
      <c r="C39" t="s">
        <v>36</v>
      </c>
      <c r="D39" t="s">
        <v>21</v>
      </c>
      <c r="E39" s="5">
        <v>46269</v>
      </c>
      <c r="F39" s="3">
        <v>46269.336805555555</v>
      </c>
      <c r="G39" s="3">
        <v>46269.680555555547</v>
      </c>
      <c r="H39" t="s">
        <v>13</v>
      </c>
    </row>
    <row r="40" spans="1:9" x14ac:dyDescent="0.35">
      <c r="A40" t="s">
        <v>90</v>
      </c>
      <c r="B40" t="s">
        <v>31</v>
      </c>
      <c r="C40" t="s">
        <v>32</v>
      </c>
      <c r="D40" t="s">
        <v>33</v>
      </c>
      <c r="E40" s="5">
        <v>46294</v>
      </c>
      <c r="H40" t="s">
        <v>28</v>
      </c>
    </row>
    <row r="41" spans="1:9" x14ac:dyDescent="0.35">
      <c r="A41" t="s">
        <v>91</v>
      </c>
      <c r="B41" t="s">
        <v>46</v>
      </c>
      <c r="C41" t="s">
        <v>47</v>
      </c>
      <c r="D41" t="s">
        <v>12</v>
      </c>
      <c r="E41" s="5">
        <v>46289</v>
      </c>
      <c r="F41" s="3">
        <v>46289.34375</v>
      </c>
      <c r="G41" s="3">
        <v>46289.679861111108</v>
      </c>
      <c r="H41" t="s">
        <v>48</v>
      </c>
    </row>
    <row r="42" spans="1:9" x14ac:dyDescent="0.35">
      <c r="A42" t="s">
        <v>92</v>
      </c>
      <c r="B42" t="s">
        <v>72</v>
      </c>
      <c r="C42" t="s">
        <v>73</v>
      </c>
      <c r="D42" t="s">
        <v>33</v>
      </c>
      <c r="E42" s="5">
        <v>46283</v>
      </c>
      <c r="F42" s="3">
        <v>46283.336805555555</v>
      </c>
      <c r="G42" s="3">
        <v>46283.693055555559</v>
      </c>
      <c r="H42" t="s">
        <v>13</v>
      </c>
    </row>
    <row r="43" spans="1:9" x14ac:dyDescent="0.35">
      <c r="A43" t="s">
        <v>93</v>
      </c>
      <c r="B43" t="s">
        <v>19</v>
      </c>
      <c r="C43" t="s">
        <v>20</v>
      </c>
      <c r="D43" t="s">
        <v>21</v>
      </c>
      <c r="E43" s="5">
        <v>46272</v>
      </c>
      <c r="H43" t="s">
        <v>28</v>
      </c>
      <c r="I43" t="s">
        <v>66</v>
      </c>
    </row>
    <row r="44" spans="1:9" x14ac:dyDescent="0.35">
      <c r="A44" t="s">
        <v>94</v>
      </c>
      <c r="B44" t="s">
        <v>39</v>
      </c>
      <c r="C44" t="s">
        <v>40</v>
      </c>
      <c r="D44" t="s">
        <v>21</v>
      </c>
      <c r="E44" s="5">
        <v>46272</v>
      </c>
      <c r="H44" t="s">
        <v>54</v>
      </c>
    </row>
    <row r="45" spans="1:9" x14ac:dyDescent="0.35">
      <c r="A45" t="s">
        <v>95</v>
      </c>
      <c r="B45" t="s">
        <v>19</v>
      </c>
      <c r="C45" t="s">
        <v>20</v>
      </c>
      <c r="D45" t="s">
        <v>21</v>
      </c>
      <c r="E45" s="5">
        <v>46287</v>
      </c>
      <c r="H45" t="s">
        <v>54</v>
      </c>
    </row>
    <row r="46" spans="1:9" x14ac:dyDescent="0.35">
      <c r="A46" t="s">
        <v>96</v>
      </c>
      <c r="B46" t="s">
        <v>72</v>
      </c>
      <c r="C46" t="s">
        <v>73</v>
      </c>
      <c r="D46" t="s">
        <v>33</v>
      </c>
      <c r="E46" s="5">
        <v>46294</v>
      </c>
      <c r="H46" t="s">
        <v>28</v>
      </c>
      <c r="I46" t="s">
        <v>29</v>
      </c>
    </row>
    <row r="47" spans="1:9" x14ac:dyDescent="0.35">
      <c r="A47" t="s">
        <v>97</v>
      </c>
      <c r="B47" t="s">
        <v>46</v>
      </c>
      <c r="C47" t="s">
        <v>47</v>
      </c>
      <c r="D47" t="s">
        <v>12</v>
      </c>
      <c r="E47" s="5">
        <v>46273</v>
      </c>
      <c r="F47" s="3">
        <v>46273.333333333336</v>
      </c>
      <c r="G47" s="3">
        <v>46273.681250000001</v>
      </c>
      <c r="H47" t="s">
        <v>13</v>
      </c>
    </row>
    <row r="48" spans="1:9" x14ac:dyDescent="0.35">
      <c r="A48" t="s">
        <v>99</v>
      </c>
      <c r="B48" t="s">
        <v>50</v>
      </c>
      <c r="C48" t="s">
        <v>51</v>
      </c>
      <c r="D48" t="s">
        <v>17</v>
      </c>
      <c r="E48" s="5">
        <v>46283</v>
      </c>
      <c r="F48" s="3">
        <v>46283.34375</v>
      </c>
      <c r="G48" s="3">
        <v>46283.686805555553</v>
      </c>
      <c r="H48" t="s">
        <v>13</v>
      </c>
    </row>
    <row r="49" spans="1:9" x14ac:dyDescent="0.35">
      <c r="A49" t="s">
        <v>100</v>
      </c>
      <c r="B49" t="s">
        <v>46</v>
      </c>
      <c r="C49" t="s">
        <v>47</v>
      </c>
      <c r="D49" t="s">
        <v>12</v>
      </c>
      <c r="E49" s="5">
        <v>46288</v>
      </c>
      <c r="H49" t="s">
        <v>54</v>
      </c>
    </row>
    <row r="50" spans="1:9" x14ac:dyDescent="0.35">
      <c r="A50" t="s">
        <v>101</v>
      </c>
      <c r="B50" t="s">
        <v>31</v>
      </c>
      <c r="C50" t="s">
        <v>32</v>
      </c>
      <c r="D50" t="s">
        <v>33</v>
      </c>
      <c r="E50" s="5">
        <v>46268</v>
      </c>
      <c r="F50" s="3">
        <v>46268.336805555555</v>
      </c>
      <c r="G50" s="3">
        <v>46268.67291666667</v>
      </c>
      <c r="H50" t="s">
        <v>13</v>
      </c>
    </row>
    <row r="51" spans="1:9" x14ac:dyDescent="0.35">
      <c r="A51" t="s">
        <v>102</v>
      </c>
      <c r="B51" t="s">
        <v>31</v>
      </c>
      <c r="C51" t="s">
        <v>32</v>
      </c>
      <c r="D51" t="s">
        <v>33</v>
      </c>
      <c r="E51" s="5">
        <v>46274</v>
      </c>
      <c r="H51" t="s">
        <v>54</v>
      </c>
      <c r="I51" t="s">
        <v>29</v>
      </c>
    </row>
    <row r="52" spans="1:9" x14ac:dyDescent="0.35">
      <c r="A52" t="s">
        <v>104</v>
      </c>
      <c r="B52" t="s">
        <v>31</v>
      </c>
      <c r="C52" t="s">
        <v>32</v>
      </c>
      <c r="D52" t="s">
        <v>33</v>
      </c>
      <c r="E52" s="5">
        <v>46283</v>
      </c>
      <c r="F52" s="3">
        <v>46283.34375</v>
      </c>
      <c r="G52" s="3">
        <v>46283.70208333333</v>
      </c>
      <c r="H52" t="s">
        <v>13</v>
      </c>
    </row>
    <row r="53" spans="1:9" x14ac:dyDescent="0.35">
      <c r="A53" t="s">
        <v>105</v>
      </c>
      <c r="B53" t="s">
        <v>31</v>
      </c>
      <c r="C53" t="s">
        <v>32</v>
      </c>
      <c r="D53" t="s">
        <v>33</v>
      </c>
      <c r="E53" s="5">
        <v>46293</v>
      </c>
      <c r="F53" s="3">
        <v>46293.34375</v>
      </c>
      <c r="G53" s="3">
        <v>46293.679166666669</v>
      </c>
      <c r="H53" t="s">
        <v>48</v>
      </c>
    </row>
    <row r="54" spans="1:9" x14ac:dyDescent="0.35">
      <c r="A54" t="s">
        <v>106</v>
      </c>
      <c r="B54" t="s">
        <v>10</v>
      </c>
      <c r="C54" t="s">
        <v>11</v>
      </c>
      <c r="D54" t="s">
        <v>12</v>
      </c>
      <c r="E54" s="5">
        <v>46279</v>
      </c>
      <c r="F54" s="3">
        <v>46279.340277777781</v>
      </c>
      <c r="G54" s="3">
        <v>46279.691666666673</v>
      </c>
      <c r="H54" t="s">
        <v>13</v>
      </c>
    </row>
    <row r="55" spans="1:9" x14ac:dyDescent="0.35">
      <c r="A55" t="s">
        <v>107</v>
      </c>
      <c r="B55" t="s">
        <v>39</v>
      </c>
      <c r="C55" t="s">
        <v>40</v>
      </c>
      <c r="D55" t="s">
        <v>21</v>
      </c>
      <c r="E55" s="5">
        <v>46267</v>
      </c>
      <c r="H55" t="s">
        <v>54</v>
      </c>
      <c r="I55" t="s">
        <v>66</v>
      </c>
    </row>
    <row r="56" spans="1:9" x14ac:dyDescent="0.35">
      <c r="A56" t="s">
        <v>108</v>
      </c>
      <c r="B56" t="s">
        <v>10</v>
      </c>
      <c r="C56" t="s">
        <v>11</v>
      </c>
      <c r="D56" t="s">
        <v>12</v>
      </c>
      <c r="E56" s="5">
        <v>46269</v>
      </c>
      <c r="F56" s="3">
        <v>46269.340277777781</v>
      </c>
      <c r="G56" s="3">
        <v>46269.688194444447</v>
      </c>
      <c r="H56" t="s">
        <v>13</v>
      </c>
    </row>
    <row r="57" spans="1:9" x14ac:dyDescent="0.35">
      <c r="A57" t="s">
        <v>109</v>
      </c>
      <c r="B57" t="s">
        <v>31</v>
      </c>
      <c r="C57" t="s">
        <v>32</v>
      </c>
      <c r="D57" t="s">
        <v>33</v>
      </c>
      <c r="E57" s="5">
        <v>46272</v>
      </c>
      <c r="F57" s="3">
        <v>46272.34375</v>
      </c>
      <c r="G57" s="3">
        <v>46272.696527777778</v>
      </c>
      <c r="H57" t="s">
        <v>13</v>
      </c>
    </row>
    <row r="58" spans="1:9" x14ac:dyDescent="0.35">
      <c r="A58" t="s">
        <v>110</v>
      </c>
      <c r="B58" t="s">
        <v>19</v>
      </c>
      <c r="C58" t="s">
        <v>20</v>
      </c>
      <c r="D58" t="s">
        <v>21</v>
      </c>
      <c r="E58" s="5">
        <v>46272</v>
      </c>
      <c r="F58" s="3">
        <v>46272.340277777781</v>
      </c>
      <c r="G58" s="3">
        <v>46272.684027777781</v>
      </c>
      <c r="H58" t="s">
        <v>13</v>
      </c>
    </row>
    <row r="59" spans="1:9" x14ac:dyDescent="0.35">
      <c r="A59" t="s">
        <v>111</v>
      </c>
      <c r="B59" t="s">
        <v>72</v>
      </c>
      <c r="C59" t="s">
        <v>73</v>
      </c>
      <c r="D59" t="s">
        <v>33</v>
      </c>
      <c r="E59" s="5">
        <v>46293</v>
      </c>
      <c r="H59" t="s">
        <v>37</v>
      </c>
      <c r="I59" t="s">
        <v>113</v>
      </c>
    </row>
    <row r="60" spans="1:9" x14ac:dyDescent="0.35">
      <c r="A60" t="s">
        <v>114</v>
      </c>
      <c r="B60" t="s">
        <v>46</v>
      </c>
      <c r="C60" t="s">
        <v>47</v>
      </c>
      <c r="D60" t="s">
        <v>12</v>
      </c>
      <c r="E60" s="5">
        <v>46267</v>
      </c>
      <c r="H60" t="s">
        <v>54</v>
      </c>
      <c r="I60" t="s">
        <v>113</v>
      </c>
    </row>
    <row r="61" spans="1:9" x14ac:dyDescent="0.35">
      <c r="A61" t="s">
        <v>115</v>
      </c>
      <c r="B61" t="s">
        <v>35</v>
      </c>
      <c r="C61" t="s">
        <v>36</v>
      </c>
      <c r="D61" t="s">
        <v>21</v>
      </c>
      <c r="E61" s="5">
        <v>46268</v>
      </c>
      <c r="H61" t="s">
        <v>37</v>
      </c>
    </row>
    <row r="62" spans="1:9" x14ac:dyDescent="0.35">
      <c r="A62" t="s">
        <v>116</v>
      </c>
      <c r="B62" t="s">
        <v>15</v>
      </c>
      <c r="C62" t="s">
        <v>16</v>
      </c>
      <c r="D62" t="s">
        <v>17</v>
      </c>
      <c r="E62" s="5">
        <v>46279</v>
      </c>
      <c r="F62" s="3">
        <v>46279.34375</v>
      </c>
      <c r="G62" s="3">
        <v>46279.695833333331</v>
      </c>
      <c r="H62" t="s">
        <v>48</v>
      </c>
    </row>
    <row r="63" spans="1:9" x14ac:dyDescent="0.35">
      <c r="A63" t="s">
        <v>117</v>
      </c>
      <c r="B63" t="s">
        <v>35</v>
      </c>
      <c r="C63" t="s">
        <v>36</v>
      </c>
      <c r="D63" t="s">
        <v>21</v>
      </c>
      <c r="E63" s="5">
        <v>46272</v>
      </c>
      <c r="F63" s="3">
        <v>46272.361111111109</v>
      </c>
      <c r="G63" s="3">
        <v>46272.7</v>
      </c>
      <c r="H63" t="s">
        <v>48</v>
      </c>
    </row>
    <row r="64" spans="1:9" x14ac:dyDescent="0.35">
      <c r="A64" t="s">
        <v>118</v>
      </c>
      <c r="B64" t="s">
        <v>64</v>
      </c>
      <c r="C64" t="s">
        <v>65</v>
      </c>
      <c r="D64" t="s">
        <v>62</v>
      </c>
      <c r="E64" s="5">
        <v>46279</v>
      </c>
      <c r="H64" t="s">
        <v>54</v>
      </c>
      <c r="I64" t="s">
        <v>66</v>
      </c>
    </row>
    <row r="65" spans="1:9" x14ac:dyDescent="0.35">
      <c r="A65" t="s">
        <v>119</v>
      </c>
      <c r="B65" t="s">
        <v>23</v>
      </c>
      <c r="C65" t="s">
        <v>24</v>
      </c>
      <c r="D65" t="s">
        <v>62</v>
      </c>
      <c r="E65" s="5">
        <v>46287</v>
      </c>
      <c r="H65" t="s">
        <v>54</v>
      </c>
      <c r="I65" t="s">
        <v>29</v>
      </c>
    </row>
    <row r="66" spans="1:9" x14ac:dyDescent="0.35">
      <c r="A66" t="s">
        <v>120</v>
      </c>
      <c r="B66" t="s">
        <v>15</v>
      </c>
      <c r="C66" t="s">
        <v>16</v>
      </c>
      <c r="D66" t="s">
        <v>17</v>
      </c>
      <c r="E66" s="5">
        <v>46272</v>
      </c>
      <c r="F66" s="3">
        <v>46272.334027777775</v>
      </c>
      <c r="G66" s="3">
        <v>46272.669444444437</v>
      </c>
      <c r="H66" t="s">
        <v>13</v>
      </c>
    </row>
    <row r="67" spans="1:9" x14ac:dyDescent="0.35">
      <c r="A67" t="s">
        <v>121</v>
      </c>
      <c r="B67" t="s">
        <v>39</v>
      </c>
      <c r="C67" t="s">
        <v>40</v>
      </c>
      <c r="D67" t="s">
        <v>21</v>
      </c>
      <c r="E67" s="5">
        <v>46283</v>
      </c>
      <c r="F67" s="3">
        <v>46283.336805555555</v>
      </c>
      <c r="G67" s="3">
        <v>46283.672222222223</v>
      </c>
      <c r="H67" t="s">
        <v>13</v>
      </c>
    </row>
    <row r="68" spans="1:9" x14ac:dyDescent="0.35">
      <c r="A68" t="s">
        <v>122</v>
      </c>
      <c r="B68" t="s">
        <v>50</v>
      </c>
      <c r="C68" t="s">
        <v>51</v>
      </c>
      <c r="D68" t="s">
        <v>17</v>
      </c>
      <c r="E68" s="5">
        <v>46281</v>
      </c>
      <c r="H68" t="s">
        <v>28</v>
      </c>
      <c r="I68" t="s">
        <v>113</v>
      </c>
    </row>
    <row r="69" spans="1:9" x14ac:dyDescent="0.35">
      <c r="A69" t="s">
        <v>123</v>
      </c>
      <c r="B69" t="s">
        <v>15</v>
      </c>
      <c r="C69" t="s">
        <v>16</v>
      </c>
      <c r="D69" t="s">
        <v>17</v>
      </c>
      <c r="E69" s="5">
        <v>46267</v>
      </c>
      <c r="H69" t="s">
        <v>28</v>
      </c>
    </row>
    <row r="70" spans="1:9" x14ac:dyDescent="0.35">
      <c r="A70" t="s">
        <v>124</v>
      </c>
      <c r="B70" t="s">
        <v>15</v>
      </c>
      <c r="C70" t="s">
        <v>16</v>
      </c>
      <c r="D70" t="s">
        <v>17</v>
      </c>
      <c r="E70" s="5">
        <v>46268</v>
      </c>
      <c r="H70" t="s">
        <v>28</v>
      </c>
    </row>
    <row r="71" spans="1:9" x14ac:dyDescent="0.35">
      <c r="A71" t="s">
        <v>125</v>
      </c>
      <c r="B71" t="s">
        <v>10</v>
      </c>
      <c r="C71" t="s">
        <v>11</v>
      </c>
      <c r="D71" t="s">
        <v>12</v>
      </c>
      <c r="E71" s="5">
        <v>46293</v>
      </c>
      <c r="F71" s="3">
        <v>46293.340277777781</v>
      </c>
      <c r="G71" s="3">
        <v>46293.678472222222</v>
      </c>
      <c r="H71" t="s">
        <v>13</v>
      </c>
    </row>
    <row r="72" spans="1:9" x14ac:dyDescent="0.35">
      <c r="A72" t="s">
        <v>126</v>
      </c>
      <c r="B72" t="s">
        <v>31</v>
      </c>
      <c r="C72" t="s">
        <v>32</v>
      </c>
      <c r="D72" t="s">
        <v>33</v>
      </c>
      <c r="E72" s="5">
        <v>46286</v>
      </c>
      <c r="H72" t="s">
        <v>28</v>
      </c>
    </row>
    <row r="73" spans="1:9" x14ac:dyDescent="0.35">
      <c r="A73" t="s">
        <v>128</v>
      </c>
      <c r="B73" t="s">
        <v>50</v>
      </c>
      <c r="C73" t="s">
        <v>51</v>
      </c>
      <c r="D73" t="s">
        <v>17</v>
      </c>
      <c r="E73" s="5">
        <v>46268</v>
      </c>
      <c r="F73" s="3">
        <v>46268.392361111109</v>
      </c>
      <c r="G73" s="3">
        <v>46268.745833333327</v>
      </c>
      <c r="H73" t="s">
        <v>48</v>
      </c>
    </row>
    <row r="74" spans="1:9" x14ac:dyDescent="0.35">
      <c r="A74" t="s">
        <v>129</v>
      </c>
      <c r="C74" t="s">
        <v>32</v>
      </c>
      <c r="D74" t="s">
        <v>33</v>
      </c>
      <c r="E74" s="5">
        <v>46287</v>
      </c>
      <c r="H74" t="s">
        <v>54</v>
      </c>
    </row>
    <row r="75" spans="1:9" x14ac:dyDescent="0.35">
      <c r="A75" t="s">
        <v>130</v>
      </c>
      <c r="B75" t="s">
        <v>31</v>
      </c>
      <c r="C75" t="s">
        <v>32</v>
      </c>
      <c r="D75" t="s">
        <v>33</v>
      </c>
      <c r="E75" s="5">
        <v>46274</v>
      </c>
      <c r="F75" s="3">
        <v>46274.350694444445</v>
      </c>
      <c r="G75" s="3">
        <v>46274.693749999999</v>
      </c>
      <c r="H75" t="s">
        <v>48</v>
      </c>
    </row>
    <row r="76" spans="1:9" x14ac:dyDescent="0.35">
      <c r="A76" t="s">
        <v>131</v>
      </c>
      <c r="B76" t="s">
        <v>46</v>
      </c>
      <c r="C76" t="s">
        <v>47</v>
      </c>
      <c r="D76" t="s">
        <v>12</v>
      </c>
      <c r="E76" s="5">
        <v>46266</v>
      </c>
      <c r="F76" s="3">
        <v>46266.381944444445</v>
      </c>
      <c r="G76" s="3">
        <v>46266.716666666667</v>
      </c>
      <c r="H76" t="s">
        <v>48</v>
      </c>
    </row>
    <row r="77" spans="1:9" x14ac:dyDescent="0.35">
      <c r="A77" t="s">
        <v>132</v>
      </c>
      <c r="B77" t="s">
        <v>31</v>
      </c>
      <c r="C77" t="s">
        <v>32</v>
      </c>
      <c r="D77" t="s">
        <v>33</v>
      </c>
      <c r="E77" s="5">
        <v>46282</v>
      </c>
      <c r="F77" s="3">
        <v>46282.334027777775</v>
      </c>
      <c r="G77" s="3">
        <v>46282.682638888888</v>
      </c>
      <c r="H77" t="s">
        <v>13</v>
      </c>
    </row>
    <row r="78" spans="1:9" x14ac:dyDescent="0.35">
      <c r="A78" t="s">
        <v>133</v>
      </c>
      <c r="B78" t="s">
        <v>31</v>
      </c>
      <c r="C78" t="s">
        <v>32</v>
      </c>
      <c r="D78" t="s">
        <v>33</v>
      </c>
      <c r="E78" s="5">
        <v>46279</v>
      </c>
      <c r="F78" s="3">
        <v>46279.334027777775</v>
      </c>
      <c r="G78" s="3">
        <v>46279.686805555553</v>
      </c>
      <c r="H78" t="s">
        <v>13</v>
      </c>
    </row>
    <row r="79" spans="1:9" x14ac:dyDescent="0.35">
      <c r="A79" t="s">
        <v>134</v>
      </c>
      <c r="B79" t="s">
        <v>39</v>
      </c>
      <c r="C79" t="s">
        <v>40</v>
      </c>
      <c r="D79" t="s">
        <v>21</v>
      </c>
      <c r="E79" s="5">
        <v>46275</v>
      </c>
      <c r="H79" t="s">
        <v>28</v>
      </c>
      <c r="I79" t="s">
        <v>66</v>
      </c>
    </row>
    <row r="80" spans="1:9" x14ac:dyDescent="0.35">
      <c r="A80" t="s">
        <v>136</v>
      </c>
      <c r="B80" t="s">
        <v>23</v>
      </c>
      <c r="C80" t="s">
        <v>24</v>
      </c>
      <c r="D80" t="s">
        <v>62</v>
      </c>
      <c r="E80" s="5">
        <v>46266</v>
      </c>
      <c r="H80" t="s">
        <v>54</v>
      </c>
      <c r="I80" t="s">
        <v>113</v>
      </c>
    </row>
    <row r="81" spans="1:8" x14ac:dyDescent="0.35">
      <c r="A81" t="s">
        <v>137</v>
      </c>
      <c r="B81" t="s">
        <v>64</v>
      </c>
      <c r="C81" t="s">
        <v>65</v>
      </c>
      <c r="D81" t="s">
        <v>62</v>
      </c>
      <c r="E81" s="5">
        <v>46295</v>
      </c>
      <c r="H81" t="s">
        <v>54</v>
      </c>
    </row>
    <row r="82" spans="1:8" x14ac:dyDescent="0.35">
      <c r="A82" t="s">
        <v>138</v>
      </c>
      <c r="B82" t="s">
        <v>15</v>
      </c>
      <c r="C82" t="s">
        <v>16</v>
      </c>
      <c r="D82" t="s">
        <v>17</v>
      </c>
      <c r="E82" s="5">
        <v>46274</v>
      </c>
      <c r="F82" s="3">
        <v>46274.333333333336</v>
      </c>
      <c r="G82" s="3">
        <v>46274.690972222219</v>
      </c>
      <c r="H82" t="s">
        <v>13</v>
      </c>
    </row>
    <row r="83" spans="1:8" x14ac:dyDescent="0.35">
      <c r="A83" t="s">
        <v>139</v>
      </c>
      <c r="B83" t="s">
        <v>64</v>
      </c>
      <c r="C83" t="s">
        <v>65</v>
      </c>
      <c r="D83" t="s">
        <v>62</v>
      </c>
      <c r="E83" s="5">
        <v>46275</v>
      </c>
      <c r="H83" t="s">
        <v>28</v>
      </c>
    </row>
    <row r="84" spans="1:8" x14ac:dyDescent="0.35">
      <c r="A84" t="s">
        <v>140</v>
      </c>
      <c r="B84" t="s">
        <v>39</v>
      </c>
      <c r="C84" t="s">
        <v>40</v>
      </c>
      <c r="D84" t="s">
        <v>21</v>
      </c>
      <c r="E84" s="5">
        <v>46276</v>
      </c>
      <c r="F84" s="3">
        <v>46276.336805555555</v>
      </c>
      <c r="G84" s="3">
        <v>46276.692361111112</v>
      </c>
      <c r="H84" t="s">
        <v>13</v>
      </c>
    </row>
    <row r="85" spans="1:8" x14ac:dyDescent="0.35">
      <c r="A85" t="s">
        <v>141</v>
      </c>
      <c r="B85" t="s">
        <v>64</v>
      </c>
      <c r="C85" t="s">
        <v>65</v>
      </c>
      <c r="D85" t="s">
        <v>62</v>
      </c>
      <c r="E85" s="5">
        <v>46294</v>
      </c>
      <c r="H85" t="s">
        <v>37</v>
      </c>
    </row>
    <row r="86" spans="1:8" x14ac:dyDescent="0.35">
      <c r="A86" t="s">
        <v>142</v>
      </c>
      <c r="B86" t="s">
        <v>46</v>
      </c>
      <c r="C86" t="s">
        <v>47</v>
      </c>
      <c r="D86" t="s">
        <v>12</v>
      </c>
      <c r="E86" s="5">
        <v>46286</v>
      </c>
      <c r="F86" s="3">
        <v>46286.340277777781</v>
      </c>
      <c r="G86" s="3">
        <v>46286.673611111109</v>
      </c>
      <c r="H86" t="s">
        <v>48</v>
      </c>
    </row>
    <row r="87" spans="1:8" x14ac:dyDescent="0.35">
      <c r="A87" t="s">
        <v>143</v>
      </c>
      <c r="B87" t="s">
        <v>15</v>
      </c>
      <c r="C87" t="s">
        <v>16</v>
      </c>
      <c r="D87" t="s">
        <v>17</v>
      </c>
      <c r="E87" s="5">
        <v>46286</v>
      </c>
      <c r="F87" s="3">
        <v>46286.334027777775</v>
      </c>
      <c r="G87" s="3">
        <v>46286.686805555553</v>
      </c>
      <c r="H87" t="s">
        <v>13</v>
      </c>
    </row>
    <row r="88" spans="1:8" x14ac:dyDescent="0.35">
      <c r="A88" t="s">
        <v>144</v>
      </c>
      <c r="B88" t="s">
        <v>39</v>
      </c>
      <c r="C88" t="s">
        <v>40</v>
      </c>
      <c r="D88" t="s">
        <v>21</v>
      </c>
      <c r="E88" s="5">
        <v>46279</v>
      </c>
      <c r="H88" t="s">
        <v>28</v>
      </c>
    </row>
    <row r="89" spans="1:8" x14ac:dyDescent="0.35">
      <c r="A89" t="s">
        <v>145</v>
      </c>
      <c r="C89" t="s">
        <v>47</v>
      </c>
      <c r="D89" t="s">
        <v>12</v>
      </c>
      <c r="E89" s="5">
        <v>46268</v>
      </c>
      <c r="H89" t="s">
        <v>54</v>
      </c>
    </row>
    <row r="90" spans="1:8" x14ac:dyDescent="0.35">
      <c r="A90" t="s">
        <v>146</v>
      </c>
      <c r="B90" t="s">
        <v>23</v>
      </c>
      <c r="C90" t="s">
        <v>24</v>
      </c>
      <c r="D90" t="s">
        <v>62</v>
      </c>
      <c r="E90" s="5">
        <v>46267</v>
      </c>
      <c r="H90" t="s">
        <v>37</v>
      </c>
    </row>
    <row r="91" spans="1:8" x14ac:dyDescent="0.35">
      <c r="A91" t="s">
        <v>147</v>
      </c>
      <c r="B91" t="s">
        <v>50</v>
      </c>
      <c r="C91" t="s">
        <v>51</v>
      </c>
      <c r="D91" t="s">
        <v>17</v>
      </c>
      <c r="E91" s="5">
        <v>46283</v>
      </c>
      <c r="F91" s="3">
        <v>46283.340277777781</v>
      </c>
      <c r="G91" s="3">
        <v>46283.679166666669</v>
      </c>
      <c r="H91" t="s">
        <v>13</v>
      </c>
    </row>
    <row r="92" spans="1:8" x14ac:dyDescent="0.35">
      <c r="A92" t="s">
        <v>148</v>
      </c>
      <c r="B92" t="s">
        <v>64</v>
      </c>
      <c r="C92" t="s">
        <v>65</v>
      </c>
      <c r="D92" t="s">
        <v>62</v>
      </c>
      <c r="E92" s="5">
        <v>46279</v>
      </c>
      <c r="H92" t="s">
        <v>37</v>
      </c>
    </row>
    <row r="93" spans="1:8" x14ac:dyDescent="0.35">
      <c r="A93" t="s">
        <v>149</v>
      </c>
      <c r="B93" t="s">
        <v>42</v>
      </c>
      <c r="C93" t="s">
        <v>43</v>
      </c>
      <c r="D93" t="s">
        <v>12</v>
      </c>
      <c r="E93" s="5">
        <v>46272</v>
      </c>
      <c r="H93" t="s">
        <v>54</v>
      </c>
    </row>
    <row r="94" spans="1:8" x14ac:dyDescent="0.35">
      <c r="A94" t="s">
        <v>150</v>
      </c>
      <c r="B94" t="s">
        <v>10</v>
      </c>
      <c r="C94" t="s">
        <v>11</v>
      </c>
      <c r="D94" t="s">
        <v>12</v>
      </c>
      <c r="E94" s="5">
        <v>46269</v>
      </c>
      <c r="F94" s="3">
        <v>46269.34375</v>
      </c>
      <c r="G94" s="3">
        <v>46269.695138888892</v>
      </c>
      <c r="H94" t="s">
        <v>13</v>
      </c>
    </row>
    <row r="95" spans="1:8" x14ac:dyDescent="0.35">
      <c r="A95" t="s">
        <v>152</v>
      </c>
      <c r="B95" t="s">
        <v>39</v>
      </c>
      <c r="C95" t="s">
        <v>40</v>
      </c>
      <c r="D95" t="s">
        <v>21</v>
      </c>
      <c r="E95" s="5">
        <v>46272</v>
      </c>
      <c r="F95" s="3">
        <v>46272.334027777775</v>
      </c>
      <c r="G95" s="3">
        <v>46272.675000000003</v>
      </c>
      <c r="H95" t="s">
        <v>13</v>
      </c>
    </row>
    <row r="96" spans="1:8" x14ac:dyDescent="0.35">
      <c r="A96" t="s">
        <v>153</v>
      </c>
      <c r="B96" t="s">
        <v>35</v>
      </c>
      <c r="C96" t="s">
        <v>36</v>
      </c>
      <c r="D96" t="s">
        <v>21</v>
      </c>
      <c r="E96" s="5">
        <v>46272</v>
      </c>
      <c r="H96" t="s">
        <v>54</v>
      </c>
    </row>
    <row r="97" spans="1:9" x14ac:dyDescent="0.35">
      <c r="A97" t="s">
        <v>154</v>
      </c>
      <c r="B97" t="s">
        <v>19</v>
      </c>
      <c r="C97" t="s">
        <v>20</v>
      </c>
      <c r="D97" t="s">
        <v>21</v>
      </c>
      <c r="E97" s="5">
        <v>46293</v>
      </c>
      <c r="H97" t="s">
        <v>54</v>
      </c>
      <c r="I97" t="s">
        <v>66</v>
      </c>
    </row>
    <row r="98" spans="1:9" x14ac:dyDescent="0.35">
      <c r="A98" t="s">
        <v>155</v>
      </c>
      <c r="B98" t="s">
        <v>31</v>
      </c>
      <c r="C98" t="s">
        <v>32</v>
      </c>
      <c r="D98" t="s">
        <v>33</v>
      </c>
      <c r="E98" s="5">
        <v>46274</v>
      </c>
      <c r="F98" s="3">
        <v>46274.333333333336</v>
      </c>
      <c r="G98" s="3">
        <v>46274.683333333327</v>
      </c>
      <c r="H98" t="s">
        <v>13</v>
      </c>
    </row>
    <row r="99" spans="1:9" x14ac:dyDescent="0.35">
      <c r="A99" t="s">
        <v>156</v>
      </c>
      <c r="B99" t="s">
        <v>72</v>
      </c>
      <c r="C99" t="s">
        <v>73</v>
      </c>
      <c r="D99" t="s">
        <v>33</v>
      </c>
      <c r="E99" s="5">
        <v>46273</v>
      </c>
      <c r="F99" s="3">
        <v>46273.340277777781</v>
      </c>
      <c r="G99" s="3">
        <v>46273.688888888893</v>
      </c>
      <c r="H99" t="s">
        <v>13</v>
      </c>
    </row>
    <row r="100" spans="1:9" x14ac:dyDescent="0.35">
      <c r="A100" t="s">
        <v>158</v>
      </c>
      <c r="B100" t="s">
        <v>31</v>
      </c>
      <c r="C100" t="s">
        <v>32</v>
      </c>
      <c r="D100" t="s">
        <v>33</v>
      </c>
      <c r="E100" s="5">
        <v>46273</v>
      </c>
      <c r="F100" s="3">
        <v>46273.334027777775</v>
      </c>
      <c r="G100" s="3">
        <v>46273.68472222222</v>
      </c>
      <c r="H100" t="s">
        <v>13</v>
      </c>
    </row>
    <row r="101" spans="1:9" x14ac:dyDescent="0.35">
      <c r="A101" t="s">
        <v>159</v>
      </c>
      <c r="B101" t="s">
        <v>64</v>
      </c>
      <c r="C101" t="s">
        <v>65</v>
      </c>
      <c r="D101" t="s">
        <v>62</v>
      </c>
      <c r="E101" s="5">
        <v>46293</v>
      </c>
      <c r="F101" s="3">
        <v>46293.336805555555</v>
      </c>
      <c r="G101" s="3">
        <v>46293.685416666667</v>
      </c>
      <c r="H101" t="s">
        <v>13</v>
      </c>
    </row>
    <row r="102" spans="1:9" x14ac:dyDescent="0.35">
      <c r="A102" t="s">
        <v>160</v>
      </c>
      <c r="B102" t="s">
        <v>23</v>
      </c>
      <c r="C102" t="s">
        <v>24</v>
      </c>
      <c r="D102" t="s">
        <v>62</v>
      </c>
      <c r="E102" s="5">
        <v>46279</v>
      </c>
      <c r="H102" t="s">
        <v>54</v>
      </c>
      <c r="I102" t="s">
        <v>113</v>
      </c>
    </row>
    <row r="103" spans="1:9" x14ac:dyDescent="0.35">
      <c r="A103" t="s">
        <v>161</v>
      </c>
      <c r="B103" t="s">
        <v>42</v>
      </c>
      <c r="C103" t="s">
        <v>43</v>
      </c>
      <c r="D103" t="s">
        <v>12</v>
      </c>
      <c r="E103" s="5">
        <v>46266</v>
      </c>
      <c r="F103" s="3">
        <v>46266.336805555555</v>
      </c>
      <c r="G103" s="3">
        <v>46266.677777777782</v>
      </c>
      <c r="H103" t="s">
        <v>13</v>
      </c>
    </row>
    <row r="104" spans="1:9" x14ac:dyDescent="0.35">
      <c r="A104" t="s">
        <v>162</v>
      </c>
      <c r="B104" t="s">
        <v>64</v>
      </c>
      <c r="C104" t="s">
        <v>65</v>
      </c>
      <c r="D104" t="s">
        <v>62</v>
      </c>
      <c r="E104" s="5">
        <v>46267</v>
      </c>
      <c r="F104" s="3">
        <v>46267.34375</v>
      </c>
      <c r="G104" s="3">
        <v>46267.695833333331</v>
      </c>
      <c r="H104" t="s">
        <v>13</v>
      </c>
    </row>
    <row r="105" spans="1:9" x14ac:dyDescent="0.35">
      <c r="A105" t="s">
        <v>163</v>
      </c>
      <c r="B105" t="s">
        <v>39</v>
      </c>
      <c r="C105" t="s">
        <v>40</v>
      </c>
      <c r="D105" t="s">
        <v>21</v>
      </c>
      <c r="E105" s="5">
        <v>46293</v>
      </c>
      <c r="F105" s="3">
        <v>46293.340277777781</v>
      </c>
      <c r="G105" s="3">
        <v>46293.7</v>
      </c>
      <c r="H105" t="s">
        <v>13</v>
      </c>
    </row>
    <row r="106" spans="1:9" x14ac:dyDescent="0.35">
      <c r="A106" t="s">
        <v>164</v>
      </c>
      <c r="B106" t="s">
        <v>46</v>
      </c>
      <c r="C106" t="s">
        <v>47</v>
      </c>
      <c r="D106" t="s">
        <v>12</v>
      </c>
      <c r="E106" s="5">
        <v>46279</v>
      </c>
      <c r="H106" t="s">
        <v>28</v>
      </c>
    </row>
    <row r="107" spans="1:9" x14ac:dyDescent="0.35">
      <c r="A107" t="s">
        <v>165</v>
      </c>
      <c r="B107" t="s">
        <v>64</v>
      </c>
      <c r="C107" t="s">
        <v>65</v>
      </c>
      <c r="D107" t="s">
        <v>62</v>
      </c>
      <c r="E107" s="5">
        <v>46267</v>
      </c>
      <c r="H107" t="s">
        <v>54</v>
      </c>
      <c r="I107" t="s">
        <v>29</v>
      </c>
    </row>
    <row r="108" spans="1:9" x14ac:dyDescent="0.35">
      <c r="A108" t="s">
        <v>166</v>
      </c>
      <c r="B108" t="s">
        <v>35</v>
      </c>
      <c r="C108" t="s">
        <v>36</v>
      </c>
      <c r="D108" t="s">
        <v>21</v>
      </c>
      <c r="E108" s="5">
        <v>46282</v>
      </c>
      <c r="H108" t="s">
        <v>37</v>
      </c>
      <c r="I108" t="s">
        <v>113</v>
      </c>
    </row>
    <row r="109" spans="1:9" x14ac:dyDescent="0.35">
      <c r="A109" t="s">
        <v>168</v>
      </c>
      <c r="B109" t="s">
        <v>10</v>
      </c>
      <c r="C109" t="s">
        <v>11</v>
      </c>
      <c r="D109" t="s">
        <v>12</v>
      </c>
      <c r="E109" s="5">
        <v>46289</v>
      </c>
      <c r="H109" t="s">
        <v>54</v>
      </c>
      <c r="I109" t="s">
        <v>66</v>
      </c>
    </row>
    <row r="110" spans="1:9" x14ac:dyDescent="0.35">
      <c r="A110" t="s">
        <v>169</v>
      </c>
      <c r="B110" t="s">
        <v>10</v>
      </c>
      <c r="C110" t="s">
        <v>11</v>
      </c>
      <c r="D110" t="s">
        <v>12</v>
      </c>
      <c r="E110" s="5">
        <v>46272</v>
      </c>
      <c r="F110" s="3">
        <v>46272.340277777781</v>
      </c>
      <c r="G110" s="3">
        <v>46272.676388888889</v>
      </c>
      <c r="H110" t="s">
        <v>13</v>
      </c>
    </row>
    <row r="111" spans="1:9" x14ac:dyDescent="0.35">
      <c r="A111" t="s">
        <v>170</v>
      </c>
      <c r="B111" t="s">
        <v>42</v>
      </c>
      <c r="C111" t="s">
        <v>43</v>
      </c>
      <c r="D111" t="s">
        <v>12</v>
      </c>
      <c r="E111" s="5">
        <v>46286</v>
      </c>
      <c r="F111" s="3">
        <v>46286.333333333336</v>
      </c>
      <c r="G111" s="3">
        <v>46286.679861111108</v>
      </c>
      <c r="H111" t="s">
        <v>13</v>
      </c>
    </row>
    <row r="112" spans="1:9" x14ac:dyDescent="0.35">
      <c r="A112" t="s">
        <v>171</v>
      </c>
      <c r="B112" t="s">
        <v>64</v>
      </c>
      <c r="C112" t="s">
        <v>65</v>
      </c>
      <c r="D112" t="s">
        <v>62</v>
      </c>
      <c r="E112" s="5">
        <v>46287</v>
      </c>
      <c r="F112" s="3">
        <v>46287.361111111109</v>
      </c>
      <c r="G112" s="3">
        <v>46287.709722222222</v>
      </c>
      <c r="H112" t="s">
        <v>48</v>
      </c>
    </row>
    <row r="113" spans="1:9" x14ac:dyDescent="0.35">
      <c r="A113" t="s">
        <v>172</v>
      </c>
      <c r="B113" t="s">
        <v>23</v>
      </c>
      <c r="C113" t="s">
        <v>24</v>
      </c>
      <c r="D113" t="s">
        <v>62</v>
      </c>
      <c r="E113" s="5">
        <v>46272</v>
      </c>
      <c r="F113" s="3">
        <v>46272.340277777781</v>
      </c>
      <c r="G113" s="3">
        <v>46272.702777777777</v>
      </c>
      <c r="H113" t="s">
        <v>13</v>
      </c>
    </row>
    <row r="114" spans="1:9" x14ac:dyDescent="0.35">
      <c r="A114" t="s">
        <v>173</v>
      </c>
      <c r="C114" t="s">
        <v>11</v>
      </c>
      <c r="D114" t="s">
        <v>12</v>
      </c>
      <c r="E114" s="5">
        <v>46289</v>
      </c>
      <c r="F114" s="3">
        <v>46289.34375</v>
      </c>
      <c r="G114" s="3">
        <v>46289.70208333333</v>
      </c>
      <c r="H114" t="s">
        <v>13</v>
      </c>
    </row>
    <row r="115" spans="1:9" x14ac:dyDescent="0.35">
      <c r="A115" t="s">
        <v>174</v>
      </c>
      <c r="B115" t="s">
        <v>19</v>
      </c>
      <c r="C115" t="s">
        <v>20</v>
      </c>
      <c r="D115" t="s">
        <v>21</v>
      </c>
      <c r="E115" s="5">
        <v>46283</v>
      </c>
      <c r="H115" t="s">
        <v>37</v>
      </c>
    </row>
    <row r="116" spans="1:9" x14ac:dyDescent="0.35">
      <c r="A116" t="s">
        <v>176</v>
      </c>
      <c r="B116" t="s">
        <v>64</v>
      </c>
      <c r="C116" t="s">
        <v>65</v>
      </c>
      <c r="D116" t="s">
        <v>62</v>
      </c>
      <c r="E116" s="5">
        <v>46275</v>
      </c>
      <c r="F116" s="3">
        <v>46275.340277777781</v>
      </c>
      <c r="G116" s="3">
        <v>46275.699305555558</v>
      </c>
      <c r="H116" t="s">
        <v>13</v>
      </c>
    </row>
    <row r="117" spans="1:9" x14ac:dyDescent="0.35">
      <c r="A117" t="s">
        <v>177</v>
      </c>
      <c r="B117" t="s">
        <v>10</v>
      </c>
      <c r="C117" t="s">
        <v>11</v>
      </c>
      <c r="D117" t="s">
        <v>12</v>
      </c>
      <c r="E117" s="5">
        <v>46276</v>
      </c>
      <c r="F117" s="3">
        <v>46276.361111111109</v>
      </c>
      <c r="G117" s="3">
        <v>46276.709027777782</v>
      </c>
      <c r="H117" t="s">
        <v>48</v>
      </c>
    </row>
    <row r="118" spans="1:9" x14ac:dyDescent="0.35">
      <c r="A118" t="s">
        <v>179</v>
      </c>
      <c r="B118" t="s">
        <v>23</v>
      </c>
      <c r="C118" t="s">
        <v>24</v>
      </c>
      <c r="D118" t="s">
        <v>62</v>
      </c>
      <c r="E118" s="5">
        <v>46281</v>
      </c>
      <c r="H118" t="s">
        <v>37</v>
      </c>
      <c r="I118" t="s">
        <v>66</v>
      </c>
    </row>
    <row r="119" spans="1:9" x14ac:dyDescent="0.35">
      <c r="A119" t="s">
        <v>180</v>
      </c>
      <c r="B119" t="s">
        <v>15</v>
      </c>
      <c r="C119" t="s">
        <v>16</v>
      </c>
      <c r="D119" t="s">
        <v>17</v>
      </c>
      <c r="E119" s="5">
        <v>46287</v>
      </c>
      <c r="F119" s="3">
        <v>46287.336805555555</v>
      </c>
      <c r="G119" s="3">
        <v>46287.692361111112</v>
      </c>
      <c r="H119" t="s">
        <v>13</v>
      </c>
    </row>
    <row r="120" spans="1:9" x14ac:dyDescent="0.35">
      <c r="A120" t="s">
        <v>181</v>
      </c>
      <c r="B120" t="s">
        <v>10</v>
      </c>
      <c r="C120" t="s">
        <v>11</v>
      </c>
      <c r="D120" t="s">
        <v>12</v>
      </c>
      <c r="E120" s="5">
        <v>46286</v>
      </c>
      <c r="F120" s="3">
        <v>46286.333333333336</v>
      </c>
      <c r="G120" s="3">
        <v>46286.677083333343</v>
      </c>
      <c r="H120" t="s">
        <v>13</v>
      </c>
    </row>
    <row r="121" spans="1:9" x14ac:dyDescent="0.35">
      <c r="A121" t="s">
        <v>182</v>
      </c>
      <c r="B121" t="s">
        <v>64</v>
      </c>
      <c r="C121" t="s">
        <v>65</v>
      </c>
      <c r="D121" t="s">
        <v>62</v>
      </c>
      <c r="E121" s="5">
        <v>46273</v>
      </c>
      <c r="H121" t="s">
        <v>37</v>
      </c>
    </row>
    <row r="122" spans="1:9" x14ac:dyDescent="0.35">
      <c r="A122" t="s">
        <v>183</v>
      </c>
      <c r="C122" t="s">
        <v>16</v>
      </c>
      <c r="D122" t="s">
        <v>17</v>
      </c>
      <c r="E122" s="5">
        <v>46266</v>
      </c>
      <c r="F122" s="3">
        <v>46266.334027777775</v>
      </c>
      <c r="G122" s="3">
        <v>46266.688194444447</v>
      </c>
      <c r="H122" t="s">
        <v>13</v>
      </c>
    </row>
    <row r="123" spans="1:9" x14ac:dyDescent="0.35">
      <c r="A123" t="s">
        <v>184</v>
      </c>
      <c r="B123" t="s">
        <v>46</v>
      </c>
      <c r="C123" t="s">
        <v>47</v>
      </c>
      <c r="D123" t="s">
        <v>12</v>
      </c>
      <c r="E123" s="5">
        <v>46280</v>
      </c>
      <c r="F123" s="3">
        <v>46280.385416666664</v>
      </c>
      <c r="G123" s="3">
        <v>46280.734027777777</v>
      </c>
      <c r="H123" t="s">
        <v>48</v>
      </c>
    </row>
    <row r="124" spans="1:9" x14ac:dyDescent="0.35">
      <c r="A124" t="s">
        <v>185</v>
      </c>
      <c r="C124" t="s">
        <v>20</v>
      </c>
      <c r="D124" t="s">
        <v>21</v>
      </c>
      <c r="E124" s="5">
        <v>46281</v>
      </c>
      <c r="F124" s="3">
        <v>46281.34375</v>
      </c>
      <c r="G124" s="3">
        <v>46281.690972222219</v>
      </c>
      <c r="H124" t="s">
        <v>48</v>
      </c>
    </row>
    <row r="125" spans="1:9" x14ac:dyDescent="0.35">
      <c r="A125" t="s">
        <v>186</v>
      </c>
      <c r="B125" t="s">
        <v>35</v>
      </c>
      <c r="C125" t="s">
        <v>36</v>
      </c>
      <c r="D125" t="s">
        <v>21</v>
      </c>
      <c r="E125" s="5">
        <v>46294</v>
      </c>
      <c r="H125" t="s">
        <v>37</v>
      </c>
    </row>
    <row r="126" spans="1:9" x14ac:dyDescent="0.35">
      <c r="A126" t="s">
        <v>188</v>
      </c>
      <c r="B126" t="s">
        <v>19</v>
      </c>
      <c r="C126" t="s">
        <v>20</v>
      </c>
      <c r="D126" t="s">
        <v>21</v>
      </c>
      <c r="E126" s="5">
        <v>46273</v>
      </c>
      <c r="F126" s="3">
        <v>46273.34375</v>
      </c>
      <c r="G126" s="3">
        <v>46273.697222222218</v>
      </c>
      <c r="H126" t="s">
        <v>13</v>
      </c>
    </row>
    <row r="127" spans="1:9" x14ac:dyDescent="0.35">
      <c r="A127" t="s">
        <v>189</v>
      </c>
      <c r="B127" t="s">
        <v>23</v>
      </c>
      <c r="C127" t="s">
        <v>24</v>
      </c>
      <c r="D127" t="s">
        <v>62</v>
      </c>
      <c r="E127" s="5">
        <v>46273</v>
      </c>
      <c r="H127" t="s">
        <v>37</v>
      </c>
    </row>
    <row r="128" spans="1:9" x14ac:dyDescent="0.35">
      <c r="A128" t="s">
        <v>191</v>
      </c>
      <c r="B128" t="s">
        <v>72</v>
      </c>
      <c r="C128" t="s">
        <v>73</v>
      </c>
      <c r="D128" t="s">
        <v>33</v>
      </c>
      <c r="E128" s="5">
        <v>46272</v>
      </c>
      <c r="H128" t="s">
        <v>37</v>
      </c>
      <c r="I128" t="s">
        <v>29</v>
      </c>
    </row>
    <row r="129" spans="1:9" x14ac:dyDescent="0.35">
      <c r="A129" t="s">
        <v>192</v>
      </c>
      <c r="B129" t="s">
        <v>10</v>
      </c>
      <c r="C129" t="s">
        <v>11</v>
      </c>
      <c r="D129" t="s">
        <v>12</v>
      </c>
      <c r="E129" s="5">
        <v>46282</v>
      </c>
      <c r="H129" t="s">
        <v>28</v>
      </c>
      <c r="I129" t="s">
        <v>113</v>
      </c>
    </row>
    <row r="130" spans="1:9" x14ac:dyDescent="0.35">
      <c r="A130" t="s">
        <v>193</v>
      </c>
      <c r="B130" t="s">
        <v>42</v>
      </c>
      <c r="C130" t="s">
        <v>43</v>
      </c>
      <c r="D130" t="s">
        <v>12</v>
      </c>
      <c r="E130" s="5">
        <v>46290</v>
      </c>
      <c r="F130" s="3">
        <v>46290.402777777781</v>
      </c>
      <c r="G130" s="3">
        <v>46290.754166666673</v>
      </c>
      <c r="H130" t="s">
        <v>48</v>
      </c>
    </row>
    <row r="131" spans="1:9" x14ac:dyDescent="0.35">
      <c r="A131" t="s">
        <v>194</v>
      </c>
      <c r="B131" t="s">
        <v>72</v>
      </c>
      <c r="C131" t="s">
        <v>73</v>
      </c>
      <c r="D131" t="s">
        <v>33</v>
      </c>
      <c r="E131" s="5">
        <v>46294</v>
      </c>
      <c r="F131" s="3">
        <v>46294.340277777781</v>
      </c>
      <c r="G131" s="3">
        <v>46294.693055555559</v>
      </c>
      <c r="H131" t="s">
        <v>13</v>
      </c>
    </row>
    <row r="132" spans="1:9" x14ac:dyDescent="0.35">
      <c r="A132" t="s">
        <v>195</v>
      </c>
      <c r="B132" t="s">
        <v>31</v>
      </c>
      <c r="C132" t="s">
        <v>32</v>
      </c>
      <c r="D132" t="s">
        <v>33</v>
      </c>
      <c r="E132" s="5">
        <v>46293</v>
      </c>
      <c r="H132" t="s">
        <v>54</v>
      </c>
    </row>
    <row r="133" spans="1:9" x14ac:dyDescent="0.35">
      <c r="A133" t="s">
        <v>196</v>
      </c>
      <c r="B133" t="s">
        <v>23</v>
      </c>
      <c r="C133" t="s">
        <v>24</v>
      </c>
      <c r="D133" t="s">
        <v>62</v>
      </c>
      <c r="E133" s="5">
        <v>46281</v>
      </c>
      <c r="H133" t="s">
        <v>54</v>
      </c>
    </row>
    <row r="134" spans="1:9" x14ac:dyDescent="0.35">
      <c r="A134" t="s">
        <v>197</v>
      </c>
      <c r="B134" t="s">
        <v>64</v>
      </c>
      <c r="C134" t="s">
        <v>65</v>
      </c>
      <c r="D134" t="s">
        <v>62</v>
      </c>
      <c r="E134" s="5">
        <v>46280</v>
      </c>
      <c r="F134" s="3">
        <v>46280.336805555555</v>
      </c>
      <c r="G134" s="3">
        <v>46280.680555555547</v>
      </c>
      <c r="H134" t="s">
        <v>13</v>
      </c>
    </row>
    <row r="135" spans="1:9" x14ac:dyDescent="0.35">
      <c r="A135" t="s">
        <v>198</v>
      </c>
      <c r="B135" t="s">
        <v>42</v>
      </c>
      <c r="C135" t="s">
        <v>43</v>
      </c>
      <c r="D135" t="s">
        <v>12</v>
      </c>
      <c r="E135" s="5">
        <v>46276</v>
      </c>
      <c r="H135" t="s">
        <v>28</v>
      </c>
    </row>
    <row r="136" spans="1:9" x14ac:dyDescent="0.35">
      <c r="A136" t="s">
        <v>199</v>
      </c>
      <c r="B136" t="s">
        <v>15</v>
      </c>
      <c r="C136" t="s">
        <v>16</v>
      </c>
      <c r="D136" t="s">
        <v>17</v>
      </c>
      <c r="E136" s="5">
        <v>46272</v>
      </c>
      <c r="F136" s="3">
        <v>46272.340277777781</v>
      </c>
      <c r="G136" s="3">
        <v>46272.70416666667</v>
      </c>
      <c r="H136" t="s">
        <v>13</v>
      </c>
    </row>
    <row r="137" spans="1:9" x14ac:dyDescent="0.35">
      <c r="A137" t="s">
        <v>201</v>
      </c>
      <c r="B137" t="s">
        <v>39</v>
      </c>
      <c r="C137" t="s">
        <v>40</v>
      </c>
      <c r="D137" t="s">
        <v>21</v>
      </c>
      <c r="E137" s="5">
        <v>46272</v>
      </c>
      <c r="F137" s="3">
        <v>46272.340277777781</v>
      </c>
      <c r="G137" s="3">
        <v>46272.691666666673</v>
      </c>
      <c r="H137" t="s">
        <v>13</v>
      </c>
    </row>
    <row r="138" spans="1:9" x14ac:dyDescent="0.35">
      <c r="A138" t="s">
        <v>202</v>
      </c>
      <c r="B138" t="s">
        <v>23</v>
      </c>
      <c r="C138" t="s">
        <v>24</v>
      </c>
      <c r="D138" t="s">
        <v>62</v>
      </c>
      <c r="E138" s="5">
        <v>46280</v>
      </c>
      <c r="F138" s="3">
        <v>46280.34375</v>
      </c>
      <c r="G138" s="3">
        <v>46280.695138888892</v>
      </c>
      <c r="H138" t="s">
        <v>48</v>
      </c>
    </row>
    <row r="139" spans="1:9" x14ac:dyDescent="0.35">
      <c r="A139" t="s">
        <v>203</v>
      </c>
      <c r="B139" t="s">
        <v>19</v>
      </c>
      <c r="C139" t="s">
        <v>20</v>
      </c>
      <c r="D139" t="s">
        <v>21</v>
      </c>
      <c r="E139" s="5">
        <v>46294</v>
      </c>
      <c r="H139" t="s">
        <v>37</v>
      </c>
      <c r="I139" t="s">
        <v>113</v>
      </c>
    </row>
    <row r="140" spans="1:9" x14ac:dyDescent="0.35">
      <c r="A140" t="s">
        <v>204</v>
      </c>
      <c r="B140" t="s">
        <v>39</v>
      </c>
      <c r="C140" t="s">
        <v>40</v>
      </c>
      <c r="D140" t="s">
        <v>21</v>
      </c>
      <c r="E140" s="5">
        <v>46266</v>
      </c>
      <c r="H140" t="s">
        <v>37</v>
      </c>
      <c r="I140" t="s">
        <v>113</v>
      </c>
    </row>
    <row r="141" spans="1:9" x14ac:dyDescent="0.35">
      <c r="A141" t="s">
        <v>205</v>
      </c>
      <c r="B141" t="s">
        <v>19</v>
      </c>
      <c r="C141" t="s">
        <v>20</v>
      </c>
      <c r="D141" t="s">
        <v>21</v>
      </c>
      <c r="E141" s="5">
        <v>46281</v>
      </c>
      <c r="F141" s="3">
        <v>46281.336805555555</v>
      </c>
      <c r="G141" s="3">
        <v>46281.683333333327</v>
      </c>
      <c r="H141" t="s">
        <v>13</v>
      </c>
    </row>
    <row r="142" spans="1:9" x14ac:dyDescent="0.35">
      <c r="A142" t="s">
        <v>206</v>
      </c>
      <c r="B142" t="s">
        <v>19</v>
      </c>
      <c r="C142" t="s">
        <v>20</v>
      </c>
      <c r="D142" t="s">
        <v>21</v>
      </c>
      <c r="E142" s="5">
        <v>46283</v>
      </c>
      <c r="H142" t="s">
        <v>54</v>
      </c>
      <c r="I142" t="s">
        <v>66</v>
      </c>
    </row>
    <row r="143" spans="1:9" x14ac:dyDescent="0.35">
      <c r="A143" t="s">
        <v>207</v>
      </c>
      <c r="B143" t="s">
        <v>23</v>
      </c>
      <c r="C143" t="s">
        <v>24</v>
      </c>
      <c r="D143" t="s">
        <v>62</v>
      </c>
      <c r="E143" s="5">
        <v>46293</v>
      </c>
      <c r="H143" t="s">
        <v>28</v>
      </c>
    </row>
    <row r="144" spans="1:9" x14ac:dyDescent="0.35">
      <c r="A144" t="s">
        <v>208</v>
      </c>
      <c r="B144" t="s">
        <v>72</v>
      </c>
      <c r="C144" t="s">
        <v>73</v>
      </c>
      <c r="D144" t="s">
        <v>33</v>
      </c>
      <c r="E144" s="5">
        <v>46273</v>
      </c>
      <c r="F144" s="3">
        <v>46273.340277777781</v>
      </c>
      <c r="G144" s="3">
        <v>46273.695138888892</v>
      </c>
      <c r="H144" t="s">
        <v>13</v>
      </c>
    </row>
    <row r="145" spans="1:9" x14ac:dyDescent="0.35">
      <c r="A145" t="s">
        <v>209</v>
      </c>
      <c r="B145" t="s">
        <v>19</v>
      </c>
      <c r="C145" t="s">
        <v>20</v>
      </c>
      <c r="D145" t="s">
        <v>21</v>
      </c>
      <c r="E145" s="5">
        <v>46276</v>
      </c>
      <c r="H145" t="s">
        <v>54</v>
      </c>
      <c r="I145" t="s">
        <v>66</v>
      </c>
    </row>
    <row r="146" spans="1:9" x14ac:dyDescent="0.35">
      <c r="A146" t="s">
        <v>210</v>
      </c>
      <c r="B146" t="s">
        <v>19</v>
      </c>
      <c r="C146" t="s">
        <v>20</v>
      </c>
      <c r="D146" t="s">
        <v>21</v>
      </c>
      <c r="E146" s="5">
        <v>46289</v>
      </c>
      <c r="F146" s="3">
        <v>46324.340277777781</v>
      </c>
      <c r="G146" s="3">
        <v>46289.679166666669</v>
      </c>
      <c r="H146" t="s">
        <v>13</v>
      </c>
    </row>
    <row r="147" spans="1:9" x14ac:dyDescent="0.35">
      <c r="A147" t="s">
        <v>211</v>
      </c>
      <c r="B147" t="s">
        <v>23</v>
      </c>
      <c r="C147" t="s">
        <v>24</v>
      </c>
      <c r="D147" t="s">
        <v>62</v>
      </c>
      <c r="E147" s="5">
        <v>46266</v>
      </c>
      <c r="F147" s="3">
        <v>46266.381944444445</v>
      </c>
      <c r="G147" s="3">
        <v>46266.716666666667</v>
      </c>
      <c r="H147" t="s">
        <v>48</v>
      </c>
    </row>
    <row r="148" spans="1:9" x14ac:dyDescent="0.35">
      <c r="A148" t="s">
        <v>212</v>
      </c>
      <c r="B148" t="s">
        <v>19</v>
      </c>
      <c r="C148" t="s">
        <v>20</v>
      </c>
      <c r="D148" t="s">
        <v>21</v>
      </c>
      <c r="E148" s="5">
        <v>46272</v>
      </c>
      <c r="H148" t="s">
        <v>37</v>
      </c>
      <c r="I148" t="s">
        <v>29</v>
      </c>
    </row>
    <row r="149" spans="1:9" x14ac:dyDescent="0.35">
      <c r="A149" t="s">
        <v>213</v>
      </c>
      <c r="B149" t="s">
        <v>15</v>
      </c>
      <c r="C149" t="s">
        <v>16</v>
      </c>
      <c r="D149" t="s">
        <v>17</v>
      </c>
      <c r="E149" s="5">
        <v>46267</v>
      </c>
      <c r="F149" s="3">
        <v>46324.340277777781</v>
      </c>
      <c r="G149" s="3">
        <v>46267.6875</v>
      </c>
      <c r="H149" t="s">
        <v>13</v>
      </c>
    </row>
    <row r="150" spans="1:9" x14ac:dyDescent="0.35">
      <c r="A150" t="s">
        <v>214</v>
      </c>
      <c r="B150" t="s">
        <v>72</v>
      </c>
      <c r="C150" t="s">
        <v>73</v>
      </c>
      <c r="D150" t="s">
        <v>33</v>
      </c>
      <c r="E150" s="5">
        <v>46276</v>
      </c>
      <c r="F150" s="3">
        <v>46276.340277777781</v>
      </c>
      <c r="G150" s="3">
        <v>46276.685416666667</v>
      </c>
      <c r="H150" t="s">
        <v>13</v>
      </c>
    </row>
    <row r="151" spans="1:9" x14ac:dyDescent="0.35">
      <c r="A151" t="s">
        <v>215</v>
      </c>
      <c r="B151" t="s">
        <v>64</v>
      </c>
      <c r="C151" t="s">
        <v>65</v>
      </c>
      <c r="D151" t="s">
        <v>62</v>
      </c>
      <c r="E151" s="5">
        <v>46293</v>
      </c>
      <c r="F151" s="3">
        <v>46293.340277777781</v>
      </c>
      <c r="G151" s="3">
        <v>46293.674305555563</v>
      </c>
      <c r="H151" t="s">
        <v>13</v>
      </c>
    </row>
    <row r="152" spans="1:9" x14ac:dyDescent="0.35">
      <c r="A152" t="s">
        <v>216</v>
      </c>
      <c r="B152" t="s">
        <v>23</v>
      </c>
      <c r="C152" t="s">
        <v>24</v>
      </c>
      <c r="D152" t="s">
        <v>62</v>
      </c>
      <c r="E152" s="5">
        <v>46267</v>
      </c>
      <c r="F152" s="3">
        <v>46267.334027777775</v>
      </c>
      <c r="G152" s="3">
        <v>46267.695833333331</v>
      </c>
      <c r="H152" t="s">
        <v>13</v>
      </c>
    </row>
    <row r="153" spans="1:9" x14ac:dyDescent="0.35">
      <c r="A153" t="s">
        <v>217</v>
      </c>
      <c r="B153" t="s">
        <v>10</v>
      </c>
      <c r="C153" t="s">
        <v>11</v>
      </c>
      <c r="D153" t="s">
        <v>12</v>
      </c>
      <c r="E153" s="5">
        <v>46267</v>
      </c>
      <c r="H153" t="s">
        <v>37</v>
      </c>
    </row>
    <row r="154" spans="1:9" x14ac:dyDescent="0.35">
      <c r="A154" t="s">
        <v>218</v>
      </c>
      <c r="B154" t="s">
        <v>31</v>
      </c>
      <c r="C154" t="s">
        <v>32</v>
      </c>
      <c r="D154" t="s">
        <v>33</v>
      </c>
      <c r="E154" s="5">
        <v>46272</v>
      </c>
      <c r="H154" t="s">
        <v>37</v>
      </c>
    </row>
    <row r="155" spans="1:9" x14ac:dyDescent="0.35">
      <c r="A155" t="s">
        <v>220</v>
      </c>
      <c r="B155" t="s">
        <v>50</v>
      </c>
      <c r="C155" t="s">
        <v>51</v>
      </c>
      <c r="D155" t="s">
        <v>17</v>
      </c>
      <c r="E155" s="5">
        <v>46272</v>
      </c>
      <c r="F155" s="3">
        <v>46272.334027777775</v>
      </c>
      <c r="G155" s="3">
        <v>46272.688194444447</v>
      </c>
      <c r="H155" t="s">
        <v>13</v>
      </c>
    </row>
    <row r="156" spans="1:9" x14ac:dyDescent="0.35">
      <c r="A156" t="s">
        <v>221</v>
      </c>
      <c r="B156" t="s">
        <v>46</v>
      </c>
      <c r="C156" t="s">
        <v>47</v>
      </c>
      <c r="D156" t="s">
        <v>12</v>
      </c>
      <c r="E156" s="5">
        <v>46286</v>
      </c>
      <c r="F156" s="3">
        <v>46286.340277777781</v>
      </c>
      <c r="G156" s="3">
        <v>46286.70416666667</v>
      </c>
      <c r="H156" t="s">
        <v>13</v>
      </c>
    </row>
    <row r="157" spans="1:9" x14ac:dyDescent="0.35">
      <c r="A157" t="s">
        <v>222</v>
      </c>
      <c r="B157" t="s">
        <v>42</v>
      </c>
      <c r="C157" t="s">
        <v>43</v>
      </c>
      <c r="D157" t="s">
        <v>12</v>
      </c>
      <c r="E157" s="5">
        <v>46272</v>
      </c>
      <c r="H157" t="s">
        <v>28</v>
      </c>
      <c r="I157" t="s">
        <v>113</v>
      </c>
    </row>
    <row r="158" spans="1:9" x14ac:dyDescent="0.35">
      <c r="A158" t="s">
        <v>223</v>
      </c>
      <c r="B158" t="s">
        <v>39</v>
      </c>
      <c r="C158" t="s">
        <v>40</v>
      </c>
      <c r="D158" t="s">
        <v>21</v>
      </c>
      <c r="E158" s="5">
        <v>46288</v>
      </c>
      <c r="F158" s="3">
        <v>46288.334027777775</v>
      </c>
      <c r="G158" s="3">
        <v>46288.680555555547</v>
      </c>
      <c r="H158" t="s">
        <v>13</v>
      </c>
    </row>
    <row r="159" spans="1:9" x14ac:dyDescent="0.35">
      <c r="A159" t="s">
        <v>224</v>
      </c>
      <c r="B159" t="s">
        <v>50</v>
      </c>
      <c r="C159" t="s">
        <v>51</v>
      </c>
      <c r="D159" t="s">
        <v>17</v>
      </c>
      <c r="E159" s="5">
        <v>46266</v>
      </c>
      <c r="F159" s="3">
        <v>46266.34375</v>
      </c>
      <c r="G159" s="3">
        <v>46266.706944444442</v>
      </c>
      <c r="H159" t="s">
        <v>13</v>
      </c>
    </row>
    <row r="160" spans="1:9" x14ac:dyDescent="0.35">
      <c r="A160" t="s">
        <v>225</v>
      </c>
      <c r="B160" t="s">
        <v>19</v>
      </c>
      <c r="C160" t="s">
        <v>20</v>
      </c>
      <c r="D160" t="s">
        <v>21</v>
      </c>
      <c r="E160" s="5">
        <v>46288</v>
      </c>
      <c r="F160" s="3">
        <v>46288.333333333336</v>
      </c>
      <c r="G160" s="3">
        <v>46288.692361111112</v>
      </c>
      <c r="H160" t="s">
        <v>13</v>
      </c>
    </row>
    <row r="161" spans="1:9" x14ac:dyDescent="0.35">
      <c r="A161" t="s">
        <v>227</v>
      </c>
      <c r="B161" t="s">
        <v>10</v>
      </c>
      <c r="C161" t="s">
        <v>11</v>
      </c>
      <c r="D161" t="s">
        <v>12</v>
      </c>
      <c r="E161" s="5">
        <v>46273</v>
      </c>
      <c r="F161" s="3">
        <v>46273.336805555555</v>
      </c>
      <c r="G161" s="3">
        <v>46273.7</v>
      </c>
      <c r="H161" t="s">
        <v>13</v>
      </c>
    </row>
    <row r="162" spans="1:9" x14ac:dyDescent="0.35">
      <c r="A162" t="s">
        <v>228</v>
      </c>
      <c r="B162" t="s">
        <v>46</v>
      </c>
      <c r="C162" t="s">
        <v>47</v>
      </c>
      <c r="D162" t="s">
        <v>12</v>
      </c>
      <c r="E162" s="5">
        <v>46293</v>
      </c>
      <c r="H162" t="s">
        <v>28</v>
      </c>
    </row>
    <row r="163" spans="1:9" x14ac:dyDescent="0.35">
      <c r="A163" t="s">
        <v>229</v>
      </c>
      <c r="B163" t="s">
        <v>42</v>
      </c>
      <c r="C163" t="s">
        <v>43</v>
      </c>
      <c r="D163" t="s">
        <v>12</v>
      </c>
      <c r="E163" s="5">
        <v>46283</v>
      </c>
      <c r="F163" s="3">
        <v>46324.392361111109</v>
      </c>
      <c r="G163" s="3">
        <v>46283.727083333331</v>
      </c>
      <c r="H163" t="s">
        <v>48</v>
      </c>
    </row>
    <row r="164" spans="1:9" x14ac:dyDescent="0.35">
      <c r="A164" t="s">
        <v>230</v>
      </c>
      <c r="B164" t="s">
        <v>10</v>
      </c>
      <c r="C164" t="s">
        <v>11</v>
      </c>
      <c r="D164" t="s">
        <v>12</v>
      </c>
      <c r="E164" s="5">
        <v>46276</v>
      </c>
      <c r="F164" s="3">
        <v>46276.340277777781</v>
      </c>
      <c r="G164" s="3">
        <v>46276.695138888892</v>
      </c>
      <c r="H164" t="s">
        <v>13</v>
      </c>
    </row>
    <row r="165" spans="1:9" x14ac:dyDescent="0.35">
      <c r="A165" t="s">
        <v>231</v>
      </c>
      <c r="B165" t="s">
        <v>19</v>
      </c>
      <c r="C165" t="s">
        <v>20</v>
      </c>
      <c r="D165" t="s">
        <v>21</v>
      </c>
      <c r="E165" s="5">
        <v>46279</v>
      </c>
      <c r="H165" t="s">
        <v>54</v>
      </c>
      <c r="I165" t="s">
        <v>29</v>
      </c>
    </row>
    <row r="166" spans="1:9" x14ac:dyDescent="0.35">
      <c r="A166" t="s">
        <v>233</v>
      </c>
      <c r="B166" t="s">
        <v>39</v>
      </c>
      <c r="C166" t="s">
        <v>40</v>
      </c>
      <c r="D166" t="s">
        <v>21</v>
      </c>
      <c r="E166" s="5">
        <v>46272</v>
      </c>
      <c r="F166" s="3">
        <v>46272.350694444445</v>
      </c>
      <c r="G166" s="3">
        <v>46272.697222222218</v>
      </c>
      <c r="H166" t="s">
        <v>48</v>
      </c>
    </row>
    <row r="167" spans="1:9" x14ac:dyDescent="0.35">
      <c r="A167" t="s">
        <v>234</v>
      </c>
      <c r="B167" t="s">
        <v>72</v>
      </c>
      <c r="C167" t="s">
        <v>73</v>
      </c>
      <c r="D167" t="s">
        <v>33</v>
      </c>
      <c r="E167" s="5">
        <v>46280</v>
      </c>
      <c r="F167" s="3">
        <v>46280.392361111109</v>
      </c>
      <c r="G167" s="3">
        <v>46280.732638888891</v>
      </c>
      <c r="H167" t="s">
        <v>48</v>
      </c>
    </row>
    <row r="168" spans="1:9" x14ac:dyDescent="0.35">
      <c r="A168" t="s">
        <v>235</v>
      </c>
      <c r="B168" t="s">
        <v>46</v>
      </c>
      <c r="C168" t="s">
        <v>47</v>
      </c>
      <c r="D168" t="s">
        <v>12</v>
      </c>
      <c r="E168" s="5">
        <v>46274</v>
      </c>
      <c r="F168" s="3">
        <v>46274.361111111109</v>
      </c>
      <c r="G168" s="3">
        <v>46274.706944444442</v>
      </c>
      <c r="H168" t="s">
        <v>48</v>
      </c>
    </row>
    <row r="169" spans="1:9" x14ac:dyDescent="0.35">
      <c r="A169" t="s">
        <v>236</v>
      </c>
      <c r="B169" t="s">
        <v>10</v>
      </c>
      <c r="C169" t="s">
        <v>11</v>
      </c>
      <c r="D169" t="s">
        <v>12</v>
      </c>
      <c r="E169" s="5">
        <v>46279</v>
      </c>
      <c r="F169" s="3">
        <v>46279.333333333336</v>
      </c>
      <c r="G169" s="3">
        <v>46279.688194444447</v>
      </c>
      <c r="H169" t="s">
        <v>13</v>
      </c>
    </row>
    <row r="170" spans="1:9" x14ac:dyDescent="0.35">
      <c r="A170" t="s">
        <v>237</v>
      </c>
      <c r="B170" t="s">
        <v>15</v>
      </c>
      <c r="C170" t="s">
        <v>16</v>
      </c>
      <c r="D170" t="s">
        <v>17</v>
      </c>
      <c r="E170" s="5">
        <v>46281</v>
      </c>
      <c r="F170" s="3">
        <v>46281.336805555555</v>
      </c>
      <c r="G170" s="3">
        <v>46281.681250000001</v>
      </c>
      <c r="H170" t="s">
        <v>13</v>
      </c>
    </row>
    <row r="171" spans="1:9" x14ac:dyDescent="0.35">
      <c r="A171" t="s">
        <v>238</v>
      </c>
      <c r="B171" t="s">
        <v>64</v>
      </c>
      <c r="C171" t="s">
        <v>65</v>
      </c>
      <c r="D171" t="s">
        <v>62</v>
      </c>
      <c r="E171" s="5">
        <v>46294</v>
      </c>
      <c r="H171" t="s">
        <v>28</v>
      </c>
      <c r="I171" t="s">
        <v>66</v>
      </c>
    </row>
    <row r="172" spans="1:9" x14ac:dyDescent="0.35">
      <c r="A172" t="s">
        <v>239</v>
      </c>
      <c r="B172" t="s">
        <v>64</v>
      </c>
      <c r="C172" t="s">
        <v>65</v>
      </c>
      <c r="D172" t="s">
        <v>62</v>
      </c>
      <c r="E172" s="5">
        <v>46283</v>
      </c>
      <c r="F172" s="3">
        <v>46283.34375</v>
      </c>
      <c r="G172" s="3">
        <v>46283.685416666667</v>
      </c>
      <c r="H172" t="s">
        <v>13</v>
      </c>
    </row>
    <row r="173" spans="1:9" x14ac:dyDescent="0.35">
      <c r="A173" t="s">
        <v>240</v>
      </c>
      <c r="B173" t="s">
        <v>31</v>
      </c>
      <c r="C173" t="s">
        <v>32</v>
      </c>
      <c r="D173" t="s">
        <v>33</v>
      </c>
      <c r="E173" s="5">
        <v>46289</v>
      </c>
      <c r="F173" s="3">
        <v>46289.34375</v>
      </c>
      <c r="G173" s="3">
        <v>46289.692361111112</v>
      </c>
      <c r="H173" t="s">
        <v>48</v>
      </c>
    </row>
    <row r="174" spans="1:9" x14ac:dyDescent="0.35">
      <c r="A174" t="s">
        <v>241</v>
      </c>
      <c r="B174" t="s">
        <v>10</v>
      </c>
      <c r="C174" t="s">
        <v>11</v>
      </c>
      <c r="D174" t="s">
        <v>12</v>
      </c>
      <c r="E174" s="5">
        <v>46288</v>
      </c>
      <c r="F174" s="3">
        <v>46288.340277777781</v>
      </c>
      <c r="G174" s="3">
        <v>46288.675000000003</v>
      </c>
      <c r="H174" t="s">
        <v>48</v>
      </c>
    </row>
    <row r="175" spans="1:9" x14ac:dyDescent="0.35">
      <c r="A175" t="s">
        <v>242</v>
      </c>
      <c r="B175" t="s">
        <v>31</v>
      </c>
      <c r="C175" t="s">
        <v>32</v>
      </c>
      <c r="D175" t="s">
        <v>33</v>
      </c>
      <c r="E175" s="5">
        <v>46279</v>
      </c>
      <c r="H175" t="s">
        <v>54</v>
      </c>
    </row>
    <row r="176" spans="1:9" x14ac:dyDescent="0.35">
      <c r="A176" t="s">
        <v>243</v>
      </c>
      <c r="B176" t="s">
        <v>64</v>
      </c>
      <c r="C176" t="s">
        <v>65</v>
      </c>
      <c r="D176" t="s">
        <v>62</v>
      </c>
      <c r="E176" s="5">
        <v>46287</v>
      </c>
      <c r="H176" t="s">
        <v>28</v>
      </c>
    </row>
    <row r="177" spans="1:8" x14ac:dyDescent="0.35">
      <c r="A177" t="s">
        <v>244</v>
      </c>
      <c r="B177" t="s">
        <v>72</v>
      </c>
      <c r="C177" t="s">
        <v>73</v>
      </c>
      <c r="D177" t="s">
        <v>33</v>
      </c>
      <c r="E177" s="5">
        <v>46283</v>
      </c>
      <c r="H177" t="s">
        <v>28</v>
      </c>
    </row>
    <row r="178" spans="1:8" x14ac:dyDescent="0.35">
      <c r="A178" t="s">
        <v>245</v>
      </c>
      <c r="B178" t="s">
        <v>19</v>
      </c>
      <c r="C178" t="s">
        <v>20</v>
      </c>
      <c r="D178" t="s">
        <v>21</v>
      </c>
      <c r="E178" s="5">
        <v>46289</v>
      </c>
      <c r="H178" t="s">
        <v>28</v>
      </c>
    </row>
    <row r="179" spans="1:8" x14ac:dyDescent="0.35">
      <c r="A179" t="s">
        <v>246</v>
      </c>
      <c r="B179" t="s">
        <v>42</v>
      </c>
      <c r="C179" t="s">
        <v>43</v>
      </c>
      <c r="D179" t="s">
        <v>12</v>
      </c>
      <c r="E179" s="5">
        <v>46288</v>
      </c>
      <c r="F179" s="3">
        <v>46288.350694444445</v>
      </c>
      <c r="G179" s="3">
        <v>46288.689583333333</v>
      </c>
      <c r="H179" t="s">
        <v>48</v>
      </c>
    </row>
    <row r="180" spans="1:8" x14ac:dyDescent="0.35">
      <c r="A180" t="s">
        <v>247</v>
      </c>
      <c r="B180" t="s">
        <v>46</v>
      </c>
      <c r="C180" t="s">
        <v>47</v>
      </c>
      <c r="D180" t="s">
        <v>12</v>
      </c>
      <c r="E180" s="5">
        <v>46289</v>
      </c>
      <c r="F180" s="3">
        <v>46289.336805555555</v>
      </c>
      <c r="G180" s="3">
        <v>46289.675000000003</v>
      </c>
      <c r="H180" t="s">
        <v>13</v>
      </c>
    </row>
    <row r="181" spans="1:8" x14ac:dyDescent="0.35">
      <c r="A181" t="s">
        <v>248</v>
      </c>
      <c r="B181" t="s">
        <v>23</v>
      </c>
      <c r="C181" t="s">
        <v>24</v>
      </c>
      <c r="D181" t="s">
        <v>62</v>
      </c>
      <c r="E181" s="5">
        <v>46290</v>
      </c>
      <c r="H181" t="s">
        <v>54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workbookViewId="0">
      <selection activeCell="I11" sqref="I11"/>
    </sheetView>
  </sheetViews>
  <sheetFormatPr defaultRowHeight="14.5" x14ac:dyDescent="0.35"/>
  <sheetData>
    <row r="1" spans="1:10" x14ac:dyDescent="0.35">
      <c r="A1" s="1" t="s">
        <v>249</v>
      </c>
      <c r="B1" s="1" t="s">
        <v>250</v>
      </c>
    </row>
    <row r="2" spans="1:10" x14ac:dyDescent="0.35">
      <c r="A2">
        <v>1</v>
      </c>
      <c r="B2" t="s">
        <v>251</v>
      </c>
    </row>
    <row r="3" spans="1:10" x14ac:dyDescent="0.35">
      <c r="A3">
        <v>2</v>
      </c>
      <c r="B3" t="s">
        <v>252</v>
      </c>
    </row>
    <row r="4" spans="1:10" x14ac:dyDescent="0.35">
      <c r="A4">
        <v>3</v>
      </c>
      <c r="B4" t="s">
        <v>253</v>
      </c>
      <c r="J4" t="s">
        <v>262</v>
      </c>
    </row>
    <row r="5" spans="1:10" x14ac:dyDescent="0.35">
      <c r="A5">
        <v>4</v>
      </c>
      <c r="B5" t="s">
        <v>254</v>
      </c>
    </row>
    <row r="6" spans="1:10" x14ac:dyDescent="0.35">
      <c r="A6">
        <v>5</v>
      </c>
      <c r="B6" t="s">
        <v>255</v>
      </c>
    </row>
    <row r="7" spans="1:10" x14ac:dyDescent="0.35">
      <c r="A7">
        <v>6</v>
      </c>
      <c r="B7" t="s">
        <v>256</v>
      </c>
    </row>
    <row r="8" spans="1:10" x14ac:dyDescent="0.35">
      <c r="A8">
        <v>7</v>
      </c>
      <c r="B8" t="s">
        <v>257</v>
      </c>
    </row>
    <row r="9" spans="1:10" x14ac:dyDescent="0.35">
      <c r="A9">
        <v>8</v>
      </c>
      <c r="B9" t="s">
        <v>258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5"/>
  <sheetViews>
    <sheetView topLeftCell="A179" workbookViewId="0">
      <selection activeCell="L6" sqref="L6"/>
    </sheetView>
  </sheetViews>
  <sheetFormatPr defaultRowHeight="14.5" x14ac:dyDescent="0.35"/>
  <cols>
    <col min="1" max="1" width="12.90625" bestFit="1" customWidth="1"/>
    <col min="2" max="2" width="11.26953125" bestFit="1" customWidth="1"/>
    <col min="3" max="3" width="16.6328125" bestFit="1" customWidth="1"/>
    <col min="4" max="4" width="19.6328125" bestFit="1" customWidth="1"/>
    <col min="5" max="5" width="11.08984375" bestFit="1" customWidth="1"/>
    <col min="6" max="6" width="16.26953125" bestFit="1" customWidth="1"/>
    <col min="7" max="7" width="10.453125" bestFit="1" customWidth="1"/>
    <col min="8" max="9" width="17.81640625" bestFit="1" customWidth="1"/>
    <col min="10" max="10" width="9" bestFit="1" customWidth="1"/>
    <col min="11" max="11" width="11.1796875" bestFit="1" customWidth="1"/>
    <col min="12" max="12" width="17.90625" bestFit="1" customWidth="1"/>
    <col min="14" max="14" width="14.26953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259</v>
      </c>
      <c r="E1" s="1" t="s">
        <v>3</v>
      </c>
      <c r="F1" s="1" t="s">
        <v>260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261</v>
      </c>
      <c r="L1" s="1" t="s">
        <v>8</v>
      </c>
      <c r="N1" s="4" t="s">
        <v>263</v>
      </c>
    </row>
    <row r="2" spans="1:14" x14ac:dyDescent="0.35">
      <c r="A2" t="s">
        <v>9</v>
      </c>
      <c r="B2" t="s">
        <v>10</v>
      </c>
      <c r="C2" t="s">
        <v>11</v>
      </c>
      <c r="D2" t="str">
        <f>PROPER(TRIM(C2))</f>
        <v>Kirana Dewi</v>
      </c>
      <c r="E2" t="s">
        <v>12</v>
      </c>
      <c r="F2" t="str">
        <f>IF(TRIM(E2)="","",IF(UPPER(TRIM(E2))="IT","IT",IF(UPPER(TRIM(E2))="HR","HR",PROPER(TRIM(E2)))))</f>
        <v>Operations</v>
      </c>
      <c r="G2" s="2">
        <v>46269</v>
      </c>
      <c r="H2" s="3">
        <v>46269.336805555547</v>
      </c>
      <c r="I2" s="3">
        <v>46269.680555555547</v>
      </c>
      <c r="J2" t="s">
        <v>13</v>
      </c>
      <c r="K2" t="str">
        <f>PROPER(TRIM(J2))</f>
        <v>Present</v>
      </c>
      <c r="N2" t="str">
        <f>IF(COUNTIF($A:$A,A2)&gt;1,"Duplicate","Unique")</f>
        <v>Duplicate</v>
      </c>
    </row>
    <row r="3" spans="1:14" x14ac:dyDescent="0.35">
      <c r="A3" t="s">
        <v>14</v>
      </c>
      <c r="B3" t="s">
        <v>15</v>
      </c>
      <c r="C3" t="s">
        <v>16</v>
      </c>
      <c r="D3" t="str">
        <f>PROPER(TRIM(C3))</f>
        <v>Citra Lestari</v>
      </c>
      <c r="E3" t="s">
        <v>17</v>
      </c>
      <c r="F3" t="str">
        <f>IF(TRIM(E3)="","",IF(UPPER(TRIM(E3))="IT","IT",IF(UPPER(TRIM(E3))="HR","HR",PROPER(TRIM(E3)))))</f>
        <v>HR</v>
      </c>
      <c r="G3" s="2">
        <v>46289</v>
      </c>
      <c r="H3" s="3">
        <v>46289.34375</v>
      </c>
      <c r="I3" s="3">
        <v>46289.680555555547</v>
      </c>
      <c r="J3" t="s">
        <v>13</v>
      </c>
      <c r="K3" t="str">
        <f>PROPER(TRIM(J3))</f>
        <v>Present</v>
      </c>
      <c r="N3" t="str">
        <f t="shared" ref="N3:N66" si="0">IF(COUNTIF($A:$A,A3)&gt;1,"Check Duplicate","Unique")</f>
        <v>Unique</v>
      </c>
    </row>
    <row r="4" spans="1:14" x14ac:dyDescent="0.35">
      <c r="A4" t="s">
        <v>18</v>
      </c>
      <c r="B4" t="s">
        <v>19</v>
      </c>
      <c r="C4" t="s">
        <v>20</v>
      </c>
      <c r="D4" t="str">
        <f>PROPER(TRIM(C4))</f>
        <v>Gita Maharani</v>
      </c>
      <c r="E4" t="s">
        <v>21</v>
      </c>
      <c r="F4" t="str">
        <f>IF(TRIM(E4)="","",IF(UPPER(TRIM(E4))="IT","IT",IF(UPPER(TRIM(E4))="HR","HR",PROPER(TRIM(E4)))))</f>
        <v>Finance</v>
      </c>
      <c r="G4" s="2">
        <v>46267</v>
      </c>
      <c r="H4" s="3">
        <v>46267.333333333343</v>
      </c>
      <c r="I4" s="3">
        <v>46267.675694444442</v>
      </c>
      <c r="J4" t="s">
        <v>13</v>
      </c>
      <c r="K4" t="str">
        <f>PROPER(TRIM(J4))</f>
        <v>Present</v>
      </c>
      <c r="N4" t="str">
        <f t="shared" si="0"/>
        <v>Unique</v>
      </c>
    </row>
    <row r="5" spans="1:14" x14ac:dyDescent="0.35">
      <c r="A5" t="s">
        <v>22</v>
      </c>
      <c r="B5" t="s">
        <v>23</v>
      </c>
      <c r="C5" t="s">
        <v>24</v>
      </c>
      <c r="D5" t="str">
        <f>PROPER(TRIM(C5))</f>
        <v>Intan Permata</v>
      </c>
      <c r="E5" t="s">
        <v>25</v>
      </c>
      <c r="F5" t="str">
        <f>IF(TRIM(E5)="","",IF(UPPER(TRIM(E5))="IT","IT",IF(UPPER(TRIM(E5))="HR","HR",PROPER(TRIM(E5)))))</f>
        <v>Sales</v>
      </c>
      <c r="G5" s="2">
        <v>46286</v>
      </c>
      <c r="H5" s="3">
        <v>46286.34375</v>
      </c>
      <c r="I5" s="3">
        <v>46286.685416666667</v>
      </c>
      <c r="J5" t="s">
        <v>26</v>
      </c>
      <c r="K5" t="str">
        <f>PROPER(TRIM(J5))</f>
        <v>Present</v>
      </c>
      <c r="N5" t="str">
        <f t="shared" si="0"/>
        <v>Unique</v>
      </c>
    </row>
    <row r="6" spans="1:14" x14ac:dyDescent="0.35">
      <c r="A6" t="s">
        <v>27</v>
      </c>
      <c r="B6" t="s">
        <v>10</v>
      </c>
      <c r="C6" t="s">
        <v>11</v>
      </c>
      <c r="D6" t="str">
        <f>PROPER(TRIM(C6))</f>
        <v>Kirana Dewi</v>
      </c>
      <c r="E6" t="s">
        <v>12</v>
      </c>
      <c r="F6" t="str">
        <f>IF(TRIM(E6)="","",IF(UPPER(TRIM(E6))="IT","IT",IF(UPPER(TRIM(E6))="HR","HR",PROPER(TRIM(E6)))))</f>
        <v>Operations</v>
      </c>
      <c r="G6" s="2">
        <v>46288</v>
      </c>
      <c r="J6" t="s">
        <v>28</v>
      </c>
      <c r="K6" t="str">
        <f>PROPER(TRIM(J6))</f>
        <v>Absent</v>
      </c>
      <c r="L6" t="s">
        <v>29</v>
      </c>
      <c r="N6" t="str">
        <f t="shared" si="0"/>
        <v>Unique</v>
      </c>
    </row>
    <row r="7" spans="1:14" x14ac:dyDescent="0.35">
      <c r="A7" t="s">
        <v>30</v>
      </c>
      <c r="B7" t="s">
        <v>31</v>
      </c>
      <c r="C7" t="s">
        <v>32</v>
      </c>
      <c r="D7" t="str">
        <f>PROPER(TRIM(C7))</f>
        <v>Dimas Saputra</v>
      </c>
      <c r="E7" t="s">
        <v>33</v>
      </c>
      <c r="F7" t="str">
        <f>IF(TRIM(E7)="","",IF(UPPER(TRIM(E7))="IT","IT",IF(UPPER(TRIM(E7))="HR","HR",PROPER(TRIM(E7)))))</f>
        <v>IT</v>
      </c>
      <c r="G7" s="2">
        <v>46280</v>
      </c>
      <c r="J7" t="s">
        <v>28</v>
      </c>
      <c r="K7" t="str">
        <f>PROPER(TRIM(J7))</f>
        <v>Absent</v>
      </c>
      <c r="N7" t="str">
        <f t="shared" si="0"/>
        <v>Unique</v>
      </c>
    </row>
    <row r="8" spans="1:14" x14ac:dyDescent="0.35">
      <c r="A8" t="s">
        <v>34</v>
      </c>
      <c r="B8" t="s">
        <v>35</v>
      </c>
      <c r="C8" t="s">
        <v>36</v>
      </c>
      <c r="D8" t="str">
        <f>PROPER(TRIM(C8))</f>
        <v>Alya Putri</v>
      </c>
      <c r="E8" t="s">
        <v>21</v>
      </c>
      <c r="F8" t="str">
        <f>IF(TRIM(E8)="","",IF(UPPER(TRIM(E8))="IT","IT",IF(UPPER(TRIM(E8))="HR","HR",PROPER(TRIM(E8)))))</f>
        <v>Finance</v>
      </c>
      <c r="G8" s="2">
        <v>46290</v>
      </c>
      <c r="J8" t="s">
        <v>37</v>
      </c>
      <c r="K8" t="str">
        <f>PROPER(TRIM(J8))</f>
        <v>Sick</v>
      </c>
      <c r="N8" t="str">
        <f t="shared" si="0"/>
        <v>Unique</v>
      </c>
    </row>
    <row r="9" spans="1:14" x14ac:dyDescent="0.35">
      <c r="A9" t="s">
        <v>38</v>
      </c>
      <c r="B9" t="s">
        <v>39</v>
      </c>
      <c r="C9" t="s">
        <v>40</v>
      </c>
      <c r="D9" t="str">
        <f>PROPER(TRIM(C9))</f>
        <v>Lukman Hakim</v>
      </c>
      <c r="E9" t="s">
        <v>21</v>
      </c>
      <c r="F9" t="str">
        <f>IF(TRIM(E9)="","",IF(UPPER(TRIM(E9))="IT","IT",IF(UPPER(TRIM(E9))="HR","HR",PROPER(TRIM(E9)))))</f>
        <v>Finance</v>
      </c>
      <c r="G9" s="2">
        <v>46279</v>
      </c>
      <c r="H9" s="3">
        <v>46279.336805555547</v>
      </c>
      <c r="I9" s="3">
        <v>46279.676388888889</v>
      </c>
      <c r="J9" t="s">
        <v>13</v>
      </c>
      <c r="K9" t="str">
        <f>PROPER(TRIM(J9))</f>
        <v>Present</v>
      </c>
      <c r="N9" t="str">
        <f t="shared" si="0"/>
        <v>Unique</v>
      </c>
    </row>
    <row r="10" spans="1:14" x14ac:dyDescent="0.35">
      <c r="A10" t="s">
        <v>41</v>
      </c>
      <c r="B10" t="s">
        <v>42</v>
      </c>
      <c r="C10" t="s">
        <v>43</v>
      </c>
      <c r="D10" t="str">
        <f>PROPER(TRIM(C10))</f>
        <v>Farhan Akbar</v>
      </c>
      <c r="E10" t="s">
        <v>12</v>
      </c>
      <c r="F10" t="str">
        <f>IF(TRIM(E10)="","",IF(UPPER(TRIM(E10))="IT","IT",IF(UPPER(TRIM(E10))="HR","HR",PROPER(TRIM(E10)))))</f>
        <v>Operations</v>
      </c>
      <c r="G10" s="2">
        <v>46269</v>
      </c>
      <c r="H10" s="3">
        <v>46269.340277777781</v>
      </c>
      <c r="I10" s="3">
        <v>46269.677777777782</v>
      </c>
      <c r="J10" t="s">
        <v>13</v>
      </c>
      <c r="K10" t="str">
        <f>PROPER(TRIM(J10))</f>
        <v>Present</v>
      </c>
      <c r="N10" t="str">
        <f t="shared" si="0"/>
        <v>Unique</v>
      </c>
    </row>
    <row r="11" spans="1:14" x14ac:dyDescent="0.35">
      <c r="A11" t="s">
        <v>44</v>
      </c>
      <c r="B11" t="s">
        <v>42</v>
      </c>
      <c r="C11" t="s">
        <v>43</v>
      </c>
      <c r="D11" t="str">
        <f>PROPER(TRIM(C11))</f>
        <v>Farhan Akbar</v>
      </c>
      <c r="E11" t="s">
        <v>12</v>
      </c>
      <c r="F11" t="str">
        <f>IF(TRIM(E11)="","",IF(UPPER(TRIM(E11))="IT","IT",IF(UPPER(TRIM(E11))="HR","HR",PROPER(TRIM(E11)))))</f>
        <v>Operations</v>
      </c>
      <c r="G11" s="2">
        <v>46286</v>
      </c>
      <c r="H11" s="3">
        <v>46286.333333333343</v>
      </c>
      <c r="I11" s="3">
        <v>46286.686805555553</v>
      </c>
      <c r="J11" t="s">
        <v>13</v>
      </c>
      <c r="K11" t="str">
        <f>PROPER(TRIM(J11))</f>
        <v>Present</v>
      </c>
      <c r="N11" t="str">
        <f t="shared" si="0"/>
        <v>Unique</v>
      </c>
    </row>
    <row r="12" spans="1:14" x14ac:dyDescent="0.35">
      <c r="A12" t="s">
        <v>45</v>
      </c>
      <c r="B12" t="s">
        <v>46</v>
      </c>
      <c r="C12" t="s">
        <v>47</v>
      </c>
      <c r="D12" t="str">
        <f>PROPER(TRIM(C12))</f>
        <v>Bima Pratama</v>
      </c>
      <c r="E12" t="s">
        <v>12</v>
      </c>
      <c r="F12" t="str">
        <f>IF(TRIM(E12)="","",IF(UPPER(TRIM(E12))="IT","IT",IF(UPPER(TRIM(E12))="HR","HR",PROPER(TRIM(E12)))))</f>
        <v>Operations</v>
      </c>
      <c r="G12" s="2">
        <v>46295</v>
      </c>
      <c r="H12" s="3">
        <v>46295.350694444453</v>
      </c>
      <c r="I12" s="3">
        <v>46295.70208333333</v>
      </c>
      <c r="J12" t="s">
        <v>48</v>
      </c>
      <c r="K12" t="str">
        <f>PROPER(TRIM(J12))</f>
        <v>Late</v>
      </c>
      <c r="N12" t="str">
        <f t="shared" si="0"/>
        <v>Unique</v>
      </c>
    </row>
    <row r="13" spans="1:14" x14ac:dyDescent="0.35">
      <c r="A13" t="s">
        <v>49</v>
      </c>
      <c r="B13" t="s">
        <v>50</v>
      </c>
      <c r="C13" t="s">
        <v>51</v>
      </c>
      <c r="D13" t="str">
        <f>PROPER(TRIM(C13))</f>
        <v>Joko Santoso</v>
      </c>
      <c r="E13" t="s">
        <v>52</v>
      </c>
      <c r="F13" t="str">
        <f>IF(TRIM(E13)="","",IF(UPPER(TRIM(E13))="IT","IT",IF(UPPER(TRIM(E13))="HR","HR",PROPER(TRIM(E13)))))</f>
        <v>HR</v>
      </c>
      <c r="G13" s="2">
        <v>46294</v>
      </c>
      <c r="J13" t="s">
        <v>37</v>
      </c>
      <c r="K13" t="str">
        <f>PROPER(TRIM(J13))</f>
        <v>Sick</v>
      </c>
      <c r="N13" t="str">
        <f t="shared" si="0"/>
        <v>Unique</v>
      </c>
    </row>
    <row r="14" spans="1:14" x14ac:dyDescent="0.35">
      <c r="A14" t="s">
        <v>53</v>
      </c>
      <c r="B14" t="s">
        <v>50</v>
      </c>
      <c r="C14" t="s">
        <v>51</v>
      </c>
      <c r="D14" t="str">
        <f>PROPER(TRIM(C14))</f>
        <v>Joko Santoso</v>
      </c>
      <c r="E14" t="s">
        <v>17</v>
      </c>
      <c r="F14" t="str">
        <f>IF(TRIM(E14)="","",IF(UPPER(TRIM(E14))="IT","IT",IF(UPPER(TRIM(E14))="HR","HR",PROPER(TRIM(E14)))))</f>
        <v>HR</v>
      </c>
      <c r="G14" s="2">
        <v>46272</v>
      </c>
      <c r="J14" t="s">
        <v>54</v>
      </c>
      <c r="K14" t="str">
        <f>PROPER(TRIM(J14))</f>
        <v>Leave</v>
      </c>
      <c r="N14" t="str">
        <f t="shared" si="0"/>
        <v>Unique</v>
      </c>
    </row>
    <row r="15" spans="1:14" x14ac:dyDescent="0.35">
      <c r="A15" t="s">
        <v>55</v>
      </c>
      <c r="B15" t="s">
        <v>35</v>
      </c>
      <c r="C15" t="s">
        <v>36</v>
      </c>
      <c r="D15" t="str">
        <f>PROPER(TRIM(C15))</f>
        <v>Alya Putri</v>
      </c>
      <c r="E15" t="s">
        <v>56</v>
      </c>
      <c r="F15" t="str">
        <f>IF(TRIM(E15)="","",IF(UPPER(TRIM(E15))="IT","IT",IF(UPPER(TRIM(E15))="HR","HR",PROPER(TRIM(E15)))))</f>
        <v>Finance</v>
      </c>
      <c r="G15" s="2">
        <v>46287</v>
      </c>
      <c r="H15" s="3">
        <v>46324.336805555547</v>
      </c>
      <c r="I15" s="3">
        <v>46287.673611111109</v>
      </c>
      <c r="J15" t="s">
        <v>13</v>
      </c>
      <c r="K15" t="str">
        <f>PROPER(TRIM(J15))</f>
        <v>Present</v>
      </c>
      <c r="N15" t="str">
        <f t="shared" si="0"/>
        <v>Unique</v>
      </c>
    </row>
    <row r="16" spans="1:14" x14ac:dyDescent="0.35">
      <c r="A16" t="s">
        <v>57</v>
      </c>
      <c r="B16" t="s">
        <v>46</v>
      </c>
      <c r="C16" t="s">
        <v>47</v>
      </c>
      <c r="D16" t="str">
        <f>PROPER(TRIM(C16))</f>
        <v>Bima Pratama</v>
      </c>
      <c r="E16" t="s">
        <v>12</v>
      </c>
      <c r="F16" t="str">
        <f>IF(TRIM(E16)="","",IF(UPPER(TRIM(E16))="IT","IT",IF(UPPER(TRIM(E16))="HR","HR",PROPER(TRIM(E16)))))</f>
        <v>Operations</v>
      </c>
      <c r="G16" s="2">
        <v>46279</v>
      </c>
      <c r="H16" s="3">
        <v>46279.340277777781</v>
      </c>
      <c r="I16" s="3">
        <v>46279.701388888891</v>
      </c>
      <c r="J16" t="s">
        <v>13</v>
      </c>
      <c r="K16" t="str">
        <f>PROPER(TRIM(J16))</f>
        <v>Present</v>
      </c>
      <c r="N16" t="str">
        <f t="shared" si="0"/>
        <v>Unique</v>
      </c>
    </row>
    <row r="17" spans="1:14" x14ac:dyDescent="0.35">
      <c r="A17" t="s">
        <v>58</v>
      </c>
      <c r="B17" t="s">
        <v>15</v>
      </c>
      <c r="C17" t="s">
        <v>16</v>
      </c>
      <c r="D17" t="str">
        <f>PROPER(TRIM(C17))</f>
        <v>Citra Lestari</v>
      </c>
      <c r="E17" t="s">
        <v>17</v>
      </c>
      <c r="F17" t="str">
        <f>IF(TRIM(E17)="","",IF(UPPER(TRIM(E17))="IT","IT",IF(UPPER(TRIM(E17))="HR","HR",PROPER(TRIM(E17)))))</f>
        <v>HR</v>
      </c>
      <c r="G17" s="2">
        <v>46279</v>
      </c>
      <c r="H17" s="3">
        <v>46279.334027777782</v>
      </c>
      <c r="I17" s="3">
        <v>46279.696527777778</v>
      </c>
      <c r="J17" t="s">
        <v>13</v>
      </c>
      <c r="K17" t="str">
        <f>PROPER(TRIM(J17))</f>
        <v>Present</v>
      </c>
      <c r="N17" t="str">
        <f t="shared" si="0"/>
        <v>Unique</v>
      </c>
    </row>
    <row r="18" spans="1:14" x14ac:dyDescent="0.35">
      <c r="A18" t="s">
        <v>59</v>
      </c>
      <c r="B18" t="s">
        <v>39</v>
      </c>
      <c r="C18" t="s">
        <v>40</v>
      </c>
      <c r="D18" t="str">
        <f>PROPER(TRIM(C18))</f>
        <v>Lukman Hakim</v>
      </c>
      <c r="E18" t="s">
        <v>21</v>
      </c>
      <c r="F18" t="str">
        <f>IF(TRIM(E18)="","",IF(UPPER(TRIM(E18))="IT","IT",IF(UPPER(TRIM(E18))="HR","HR",PROPER(TRIM(E18)))))</f>
        <v>Finance</v>
      </c>
      <c r="G18" s="2">
        <v>46295</v>
      </c>
      <c r="J18" t="s">
        <v>54</v>
      </c>
      <c r="K18" t="str">
        <f>PROPER(TRIM(J18))</f>
        <v>Leave</v>
      </c>
      <c r="N18" t="str">
        <f t="shared" si="0"/>
        <v>Unique</v>
      </c>
    </row>
    <row r="19" spans="1:14" x14ac:dyDescent="0.35">
      <c r="A19" t="s">
        <v>60</v>
      </c>
      <c r="B19" t="s">
        <v>46</v>
      </c>
      <c r="C19" t="s">
        <v>47</v>
      </c>
      <c r="D19" t="str">
        <f>PROPER(TRIM(C19))</f>
        <v>Bima Pratama</v>
      </c>
      <c r="E19" t="s">
        <v>12</v>
      </c>
      <c r="F19" t="str">
        <f>IF(TRIM(E19)="","",IF(UPPER(TRIM(E19))="IT","IT",IF(UPPER(TRIM(E19))="HR","HR",PROPER(TRIM(E19)))))</f>
        <v>Operations</v>
      </c>
      <c r="G19" s="2">
        <v>46286</v>
      </c>
      <c r="J19" t="s">
        <v>54</v>
      </c>
      <c r="K19" t="str">
        <f>PROPER(TRIM(J19))</f>
        <v>Leave</v>
      </c>
      <c r="N19" t="str">
        <f t="shared" si="0"/>
        <v>Unique</v>
      </c>
    </row>
    <row r="20" spans="1:14" x14ac:dyDescent="0.35">
      <c r="A20" t="s">
        <v>61</v>
      </c>
      <c r="B20" t="s">
        <v>23</v>
      </c>
      <c r="C20" t="s">
        <v>24</v>
      </c>
      <c r="D20" t="str">
        <f>PROPER(TRIM(C20))</f>
        <v>Intan Permata</v>
      </c>
      <c r="E20" t="s">
        <v>62</v>
      </c>
      <c r="F20" t="str">
        <f>IF(TRIM(E20)="","",IF(UPPER(TRIM(E20))="IT","IT",IF(UPPER(TRIM(E20))="HR","HR",PROPER(TRIM(E20)))))</f>
        <v>Sales</v>
      </c>
      <c r="G20" s="2">
        <v>46289</v>
      </c>
      <c r="H20" s="3">
        <v>46324.334027777782</v>
      </c>
      <c r="I20" s="3">
        <v>46289.6875</v>
      </c>
      <c r="J20" t="s">
        <v>13</v>
      </c>
      <c r="K20" t="str">
        <f>PROPER(TRIM(J20))</f>
        <v>Present</v>
      </c>
      <c r="N20" t="str">
        <f t="shared" si="0"/>
        <v>Unique</v>
      </c>
    </row>
    <row r="21" spans="1:14" x14ac:dyDescent="0.35">
      <c r="A21" t="s">
        <v>63</v>
      </c>
      <c r="B21" t="s">
        <v>64</v>
      </c>
      <c r="C21" t="s">
        <v>65</v>
      </c>
      <c r="D21" t="str">
        <f>PROPER(TRIM(C21))</f>
        <v>Eka Wulandari</v>
      </c>
      <c r="E21" t="s">
        <v>62</v>
      </c>
      <c r="F21" t="str">
        <f>IF(TRIM(E21)="","",IF(UPPER(TRIM(E21))="IT","IT",IF(UPPER(TRIM(E21))="HR","HR",PROPER(TRIM(E21)))))</f>
        <v>Sales</v>
      </c>
      <c r="G21" s="2">
        <v>46295</v>
      </c>
      <c r="J21" t="s">
        <v>54</v>
      </c>
      <c r="K21" t="str">
        <f>PROPER(TRIM(J21))</f>
        <v>Leave</v>
      </c>
      <c r="L21" t="s">
        <v>66</v>
      </c>
      <c r="N21" t="str">
        <f t="shared" si="0"/>
        <v>Unique</v>
      </c>
    </row>
    <row r="22" spans="1:14" x14ac:dyDescent="0.35">
      <c r="A22" t="s">
        <v>67</v>
      </c>
      <c r="B22" t="s">
        <v>23</v>
      </c>
      <c r="C22" t="s">
        <v>24</v>
      </c>
      <c r="D22" t="str">
        <f>PROPER(TRIM(C22))</f>
        <v>Intan Permata</v>
      </c>
      <c r="E22" t="s">
        <v>62</v>
      </c>
      <c r="F22" t="str">
        <f>IF(TRIM(E22)="","",IF(UPPER(TRIM(E22))="IT","IT",IF(UPPER(TRIM(E22))="HR","HR",PROPER(TRIM(E22)))))</f>
        <v>Sales</v>
      </c>
      <c r="G22" s="2">
        <v>46273</v>
      </c>
      <c r="J22" t="s">
        <v>54</v>
      </c>
      <c r="K22" t="str">
        <f>PROPER(TRIM(J22))</f>
        <v>Leave</v>
      </c>
      <c r="N22" t="str">
        <f t="shared" si="0"/>
        <v>Unique</v>
      </c>
    </row>
    <row r="23" spans="1:14" x14ac:dyDescent="0.35">
      <c r="A23" t="s">
        <v>68</v>
      </c>
      <c r="B23" t="s">
        <v>35</v>
      </c>
      <c r="C23" t="s">
        <v>36</v>
      </c>
      <c r="D23" t="str">
        <f>PROPER(TRIM(C23))</f>
        <v>Alya Putri</v>
      </c>
      <c r="E23" t="s">
        <v>21</v>
      </c>
      <c r="F23" t="str">
        <f>IF(TRIM(E23)="","",IF(UPPER(TRIM(E23))="IT","IT",IF(UPPER(TRIM(E23))="HR","HR",PROPER(TRIM(E23)))))</f>
        <v>Finance</v>
      </c>
      <c r="G23" s="2">
        <v>46273</v>
      </c>
      <c r="J23" t="s">
        <v>37</v>
      </c>
      <c r="K23" t="str">
        <f>PROPER(TRIM(J23))</f>
        <v>Sick</v>
      </c>
      <c r="N23" t="str">
        <f t="shared" si="0"/>
        <v>Unique</v>
      </c>
    </row>
    <row r="24" spans="1:14" x14ac:dyDescent="0.35">
      <c r="A24" t="s">
        <v>69</v>
      </c>
      <c r="B24" t="s">
        <v>42</v>
      </c>
      <c r="C24" t="s">
        <v>43</v>
      </c>
      <c r="D24" t="str">
        <f>PROPER(TRIM(C24))</f>
        <v>Farhan Akbar</v>
      </c>
      <c r="E24" t="s">
        <v>12</v>
      </c>
      <c r="F24" t="str">
        <f>IF(TRIM(E24)="","",IF(UPPER(TRIM(E24))="IT","IT",IF(UPPER(TRIM(E24))="HR","HR",PROPER(TRIM(E24)))))</f>
        <v>Operations</v>
      </c>
      <c r="G24" s="2">
        <v>46279</v>
      </c>
      <c r="H24" s="3">
        <v>46279.333333333343</v>
      </c>
      <c r="I24" s="3">
        <v>46279.675694444442</v>
      </c>
      <c r="J24" t="s">
        <v>13</v>
      </c>
      <c r="K24" t="str">
        <f>PROPER(TRIM(J24))</f>
        <v>Present</v>
      </c>
      <c r="N24" t="str">
        <f t="shared" si="0"/>
        <v>Unique</v>
      </c>
    </row>
    <row r="25" spans="1:14" x14ac:dyDescent="0.35">
      <c r="A25" t="s">
        <v>70</v>
      </c>
      <c r="B25" t="s">
        <v>39</v>
      </c>
      <c r="C25" t="s">
        <v>40</v>
      </c>
      <c r="D25" t="str">
        <f>PROPER(TRIM(C25))</f>
        <v>Lukman Hakim</v>
      </c>
      <c r="E25" t="s">
        <v>21</v>
      </c>
      <c r="F25" t="str">
        <f>IF(TRIM(E25)="","",IF(UPPER(TRIM(E25))="IT","IT",IF(UPPER(TRIM(E25))="HR","HR",PROPER(TRIM(E25)))))</f>
        <v>Finance</v>
      </c>
      <c r="G25" s="2">
        <v>46276</v>
      </c>
      <c r="H25" s="3">
        <v>46276.340277777781</v>
      </c>
      <c r="I25" s="3">
        <v>46276.690972222219</v>
      </c>
      <c r="J25" t="s">
        <v>13</v>
      </c>
      <c r="K25" t="str">
        <f>PROPER(TRIM(J25))</f>
        <v>Present</v>
      </c>
      <c r="N25" t="str">
        <f t="shared" si="0"/>
        <v>Unique</v>
      </c>
    </row>
    <row r="26" spans="1:14" x14ac:dyDescent="0.35">
      <c r="A26" t="s">
        <v>71</v>
      </c>
      <c r="B26" t="s">
        <v>72</v>
      </c>
      <c r="C26" t="s">
        <v>73</v>
      </c>
      <c r="D26" t="str">
        <f>PROPER(TRIM(C26))</f>
        <v>Hadi Wijaya</v>
      </c>
      <c r="E26" t="s">
        <v>33</v>
      </c>
      <c r="F26" t="str">
        <f>IF(TRIM(E26)="","",IF(UPPER(TRIM(E26))="IT","IT",IF(UPPER(TRIM(E26))="HR","HR",PROPER(TRIM(E26)))))</f>
        <v>IT</v>
      </c>
      <c r="G26" s="2">
        <v>46272</v>
      </c>
      <c r="H26" s="3">
        <v>46272.334027777782</v>
      </c>
      <c r="I26" s="3">
        <v>46272.677777777782</v>
      </c>
      <c r="J26" t="s">
        <v>13</v>
      </c>
      <c r="K26" t="str">
        <f>PROPER(TRIM(J26))</f>
        <v>Present</v>
      </c>
      <c r="N26" t="str">
        <f t="shared" si="0"/>
        <v>Unique</v>
      </c>
    </row>
    <row r="27" spans="1:14" x14ac:dyDescent="0.35">
      <c r="A27" t="s">
        <v>74</v>
      </c>
      <c r="B27" t="s">
        <v>23</v>
      </c>
      <c r="C27" t="s">
        <v>75</v>
      </c>
      <c r="D27" t="str">
        <f>PROPER(TRIM(C27))</f>
        <v>Intan Permata</v>
      </c>
      <c r="E27" t="s">
        <v>62</v>
      </c>
      <c r="F27" t="str">
        <f>IF(TRIM(E27)="","",IF(UPPER(TRIM(E27))="IT","IT",IF(UPPER(TRIM(E27))="HR","HR",PROPER(TRIM(E27)))))</f>
        <v>Sales</v>
      </c>
      <c r="G27" s="2">
        <v>46283</v>
      </c>
      <c r="H27" s="3">
        <v>46283.34375</v>
      </c>
      <c r="I27" s="3">
        <v>46283.695833333331</v>
      </c>
      <c r="J27" t="s">
        <v>13</v>
      </c>
      <c r="K27" t="str">
        <f>PROPER(TRIM(J27))</f>
        <v>Present</v>
      </c>
      <c r="N27" t="str">
        <f t="shared" si="0"/>
        <v>Unique</v>
      </c>
    </row>
    <row r="28" spans="1:14" x14ac:dyDescent="0.35">
      <c r="A28" t="s">
        <v>76</v>
      </c>
      <c r="B28" t="s">
        <v>19</v>
      </c>
      <c r="C28" t="s">
        <v>20</v>
      </c>
      <c r="D28" t="str">
        <f>PROPER(TRIM(C28))</f>
        <v>Gita Maharani</v>
      </c>
      <c r="E28" t="s">
        <v>21</v>
      </c>
      <c r="F28" t="str">
        <f>IF(TRIM(E28)="","",IF(UPPER(TRIM(E28))="IT","IT",IF(UPPER(TRIM(E28))="HR","HR",PROPER(TRIM(E28)))))</f>
        <v>Finance</v>
      </c>
      <c r="G28" s="2">
        <v>46279</v>
      </c>
      <c r="H28" s="3">
        <v>46279.334027777782</v>
      </c>
      <c r="I28" s="3">
        <v>46279.689583333333</v>
      </c>
      <c r="J28" t="s">
        <v>26</v>
      </c>
      <c r="K28" t="str">
        <f>PROPER(TRIM(J28))</f>
        <v>Present</v>
      </c>
      <c r="N28" t="str">
        <f t="shared" si="0"/>
        <v>Unique</v>
      </c>
    </row>
    <row r="29" spans="1:14" x14ac:dyDescent="0.35">
      <c r="A29" t="s">
        <v>77</v>
      </c>
      <c r="B29" t="s">
        <v>46</v>
      </c>
      <c r="C29" t="s">
        <v>47</v>
      </c>
      <c r="D29" t="str">
        <f>PROPER(TRIM(C29))</f>
        <v>Bima Pratama</v>
      </c>
      <c r="E29" t="s">
        <v>12</v>
      </c>
      <c r="F29" t="str">
        <f>IF(TRIM(E29)="","",IF(UPPER(TRIM(E29))="IT","IT",IF(UPPER(TRIM(E29))="HR","HR",PROPER(TRIM(E29)))))</f>
        <v>Operations</v>
      </c>
      <c r="G29" s="2">
        <v>46290</v>
      </c>
      <c r="H29" s="3">
        <v>46290.333333333343</v>
      </c>
      <c r="I29" s="3">
        <v>46290.67291666667</v>
      </c>
      <c r="J29" t="s">
        <v>13</v>
      </c>
      <c r="K29" t="str">
        <f>PROPER(TRIM(J29))</f>
        <v>Present</v>
      </c>
      <c r="N29" t="str">
        <f t="shared" si="0"/>
        <v>Unique</v>
      </c>
    </row>
    <row r="30" spans="1:14" x14ac:dyDescent="0.35">
      <c r="A30" t="s">
        <v>78</v>
      </c>
      <c r="B30" t="s">
        <v>15</v>
      </c>
      <c r="C30" t="s">
        <v>16</v>
      </c>
      <c r="D30" t="str">
        <f>PROPER(TRIM(C30))</f>
        <v>Citra Lestari</v>
      </c>
      <c r="E30" t="s">
        <v>17</v>
      </c>
      <c r="F30" t="str">
        <f>IF(TRIM(E30)="","",IF(UPPER(TRIM(E30))="IT","IT",IF(UPPER(TRIM(E30))="HR","HR",PROPER(TRIM(E30)))))</f>
        <v>HR</v>
      </c>
      <c r="G30" s="2">
        <v>46293</v>
      </c>
      <c r="J30" t="s">
        <v>54</v>
      </c>
      <c r="K30" t="str">
        <f>PROPER(TRIM(J30))</f>
        <v>Leave</v>
      </c>
      <c r="L30" t="s">
        <v>29</v>
      </c>
      <c r="N30" t="str">
        <f t="shared" si="0"/>
        <v>Unique</v>
      </c>
    </row>
    <row r="31" spans="1:14" x14ac:dyDescent="0.35">
      <c r="A31" t="s">
        <v>79</v>
      </c>
      <c r="B31" t="s">
        <v>50</v>
      </c>
      <c r="C31" t="s">
        <v>51</v>
      </c>
      <c r="D31" t="str">
        <f>PROPER(TRIM(C31))</f>
        <v>Joko Santoso</v>
      </c>
      <c r="E31" t="s">
        <v>17</v>
      </c>
      <c r="F31" t="str">
        <f>IF(TRIM(E31)="","",IF(UPPER(TRIM(E31))="IT","IT",IF(UPPER(TRIM(E31))="HR","HR",PROPER(TRIM(E31)))))</f>
        <v>HR</v>
      </c>
      <c r="G31" s="2">
        <v>46268</v>
      </c>
      <c r="H31" s="3">
        <v>46268.361111111109</v>
      </c>
      <c r="I31" s="3">
        <v>46268.705555555563</v>
      </c>
      <c r="J31" t="s">
        <v>48</v>
      </c>
      <c r="K31" t="str">
        <f>PROPER(TRIM(J31))</f>
        <v>Late</v>
      </c>
      <c r="N31" t="str">
        <f t="shared" si="0"/>
        <v>Unique</v>
      </c>
    </row>
    <row r="32" spans="1:14" x14ac:dyDescent="0.35">
      <c r="A32" t="s">
        <v>80</v>
      </c>
      <c r="B32" t="s">
        <v>23</v>
      </c>
      <c r="C32" t="s">
        <v>24</v>
      </c>
      <c r="D32" t="str">
        <f>PROPER(TRIM(C32))</f>
        <v>Intan Permata</v>
      </c>
      <c r="E32" t="s">
        <v>62</v>
      </c>
      <c r="F32" t="str">
        <f>IF(TRIM(E32)="","",IF(UPPER(TRIM(E32))="IT","IT",IF(UPPER(TRIM(E32))="HR","HR",PROPER(TRIM(E32)))))</f>
        <v>Sales</v>
      </c>
      <c r="G32" s="2">
        <v>46293</v>
      </c>
      <c r="H32" s="3">
        <v>46324.333333333343</v>
      </c>
      <c r="I32" s="3">
        <v>46293.696527777778</v>
      </c>
      <c r="J32" t="s">
        <v>13</v>
      </c>
      <c r="K32" t="str">
        <f>PROPER(TRIM(J32))</f>
        <v>Present</v>
      </c>
      <c r="N32" t="str">
        <f t="shared" si="0"/>
        <v>Unique</v>
      </c>
    </row>
    <row r="33" spans="1:14" x14ac:dyDescent="0.35">
      <c r="A33" t="s">
        <v>81</v>
      </c>
      <c r="B33" t="s">
        <v>64</v>
      </c>
      <c r="C33" t="s">
        <v>65</v>
      </c>
      <c r="D33" t="str">
        <f>PROPER(TRIM(C33))</f>
        <v>Eka Wulandari</v>
      </c>
      <c r="E33" t="s">
        <v>62</v>
      </c>
      <c r="F33" t="str">
        <f>IF(TRIM(E33)="","",IF(UPPER(TRIM(E33))="IT","IT",IF(UPPER(TRIM(E33))="HR","HR",PROPER(TRIM(E33)))))</f>
        <v>Sales</v>
      </c>
      <c r="G33" s="2">
        <v>46290</v>
      </c>
      <c r="J33" t="s">
        <v>54</v>
      </c>
      <c r="K33" t="str">
        <f>PROPER(TRIM(J33))</f>
        <v>Leave</v>
      </c>
      <c r="N33" t="str">
        <f t="shared" si="0"/>
        <v>Unique</v>
      </c>
    </row>
    <row r="34" spans="1:14" x14ac:dyDescent="0.35">
      <c r="A34" t="s">
        <v>82</v>
      </c>
      <c r="B34" t="s">
        <v>46</v>
      </c>
      <c r="C34" t="s">
        <v>47</v>
      </c>
      <c r="D34" t="str">
        <f>PROPER(TRIM(C34))</f>
        <v>Bima Pratama</v>
      </c>
      <c r="E34" t="s">
        <v>83</v>
      </c>
      <c r="F34" t="str">
        <f>IF(TRIM(E34)="","",IF(UPPER(TRIM(E34))="IT","IT",IF(UPPER(TRIM(E34))="HR","HR",PROPER(TRIM(E34)))))</f>
        <v>Operations</v>
      </c>
      <c r="G34" s="2">
        <v>46275</v>
      </c>
      <c r="H34" s="3">
        <v>46275.361111111109</v>
      </c>
      <c r="I34" s="3">
        <v>46275.694444444453</v>
      </c>
      <c r="J34" t="s">
        <v>84</v>
      </c>
      <c r="K34" t="str">
        <f>PROPER(TRIM(J34))</f>
        <v>Late</v>
      </c>
      <c r="N34" t="str">
        <f t="shared" si="0"/>
        <v>Unique</v>
      </c>
    </row>
    <row r="35" spans="1:14" x14ac:dyDescent="0.35">
      <c r="A35" t="s">
        <v>85</v>
      </c>
      <c r="B35" t="s">
        <v>39</v>
      </c>
      <c r="C35" t="s">
        <v>40</v>
      </c>
      <c r="D35" t="str">
        <f>PROPER(TRIM(C35))</f>
        <v>Lukman Hakim</v>
      </c>
      <c r="E35" t="s">
        <v>21</v>
      </c>
      <c r="F35" t="str">
        <f>IF(TRIM(E35)="","",IF(UPPER(TRIM(E35))="IT","IT",IF(UPPER(TRIM(E35))="HR","HR",PROPER(TRIM(E35)))))</f>
        <v>Finance</v>
      </c>
      <c r="G35" s="2">
        <v>46274</v>
      </c>
      <c r="J35" t="s">
        <v>28</v>
      </c>
      <c r="K35" t="str">
        <f>PROPER(TRIM(J35))</f>
        <v>Absent</v>
      </c>
      <c r="N35" t="str">
        <f t="shared" si="0"/>
        <v>Unique</v>
      </c>
    </row>
    <row r="36" spans="1:14" x14ac:dyDescent="0.35">
      <c r="A36" t="s">
        <v>86</v>
      </c>
      <c r="B36" t="s">
        <v>23</v>
      </c>
      <c r="C36" t="s">
        <v>24</v>
      </c>
      <c r="D36" t="str">
        <f>PROPER(TRIM(C36))</f>
        <v>Intan Permata</v>
      </c>
      <c r="E36" t="s">
        <v>62</v>
      </c>
      <c r="F36" t="str">
        <f>IF(TRIM(E36)="","",IF(UPPER(TRIM(E36))="IT","IT",IF(UPPER(TRIM(E36))="HR","HR",PROPER(TRIM(E36)))))</f>
        <v>Sales</v>
      </c>
      <c r="G36" s="2">
        <v>46295</v>
      </c>
      <c r="H36" s="3">
        <v>46295.336805555547</v>
      </c>
      <c r="I36" s="3">
        <v>46295.697916666657</v>
      </c>
      <c r="J36" t="s">
        <v>13</v>
      </c>
      <c r="K36" t="str">
        <f>PROPER(TRIM(J36))</f>
        <v>Present</v>
      </c>
      <c r="N36" t="str">
        <f t="shared" si="0"/>
        <v>Unique</v>
      </c>
    </row>
    <row r="37" spans="1:14" x14ac:dyDescent="0.35">
      <c r="A37" t="s">
        <v>87</v>
      </c>
      <c r="B37" t="s">
        <v>50</v>
      </c>
      <c r="C37" t="s">
        <v>51</v>
      </c>
      <c r="D37" t="str">
        <f>PROPER(TRIM(C37))</f>
        <v>Joko Santoso</v>
      </c>
      <c r="E37" t="s">
        <v>17</v>
      </c>
      <c r="F37" t="str">
        <f>IF(TRIM(E37)="","",IF(UPPER(TRIM(E37))="IT","IT",IF(UPPER(TRIM(E37))="HR","HR",PROPER(TRIM(E37)))))</f>
        <v>HR</v>
      </c>
      <c r="G37" s="2">
        <v>46272</v>
      </c>
      <c r="H37" s="3">
        <v>46272.336805555547</v>
      </c>
      <c r="I37" s="3">
        <v>46272.677083333343</v>
      </c>
      <c r="J37" t="s">
        <v>13</v>
      </c>
      <c r="K37" t="str">
        <f>PROPER(TRIM(J37))</f>
        <v>Present</v>
      </c>
      <c r="N37" t="str">
        <f t="shared" si="0"/>
        <v>Unique</v>
      </c>
    </row>
    <row r="38" spans="1:14" x14ac:dyDescent="0.35">
      <c r="A38" t="s">
        <v>88</v>
      </c>
      <c r="B38" t="s">
        <v>23</v>
      </c>
      <c r="C38" t="s">
        <v>24</v>
      </c>
      <c r="D38" t="str">
        <f>PROPER(TRIM(C38))</f>
        <v>Intan Permata</v>
      </c>
      <c r="E38" t="s">
        <v>62</v>
      </c>
      <c r="F38" t="str">
        <f>IF(TRIM(E38)="","",IF(UPPER(TRIM(E38))="IT","IT",IF(UPPER(TRIM(E38))="HR","HR",PROPER(TRIM(E38)))))</f>
        <v>Sales</v>
      </c>
      <c r="G38" s="2">
        <v>46295</v>
      </c>
      <c r="H38" s="3">
        <v>46295.34375</v>
      </c>
      <c r="I38" s="3">
        <v>46295.690972222219</v>
      </c>
      <c r="J38" t="s">
        <v>13</v>
      </c>
      <c r="K38" t="str">
        <f>PROPER(TRIM(J38))</f>
        <v>Present</v>
      </c>
      <c r="N38" t="str">
        <f t="shared" si="0"/>
        <v>Check Duplicate</v>
      </c>
    </row>
    <row r="39" spans="1:14" x14ac:dyDescent="0.35">
      <c r="A39" t="s">
        <v>89</v>
      </c>
      <c r="B39" t="s">
        <v>35</v>
      </c>
      <c r="C39" t="s">
        <v>36</v>
      </c>
      <c r="D39" t="str">
        <f>PROPER(TRIM(C39))</f>
        <v>Alya Putri</v>
      </c>
      <c r="E39" t="s">
        <v>21</v>
      </c>
      <c r="F39" t="str">
        <f>IF(TRIM(E39)="","",IF(UPPER(TRIM(E39))="IT","IT",IF(UPPER(TRIM(E39))="HR","HR",PROPER(TRIM(E39)))))</f>
        <v>Finance</v>
      </c>
      <c r="G39" s="2">
        <v>46269</v>
      </c>
      <c r="H39" s="3">
        <v>46269.336805555547</v>
      </c>
      <c r="I39" s="3">
        <v>46269.680555555547</v>
      </c>
      <c r="J39" t="s">
        <v>13</v>
      </c>
      <c r="K39" t="str">
        <f>PROPER(TRIM(J39))</f>
        <v>Present</v>
      </c>
      <c r="N39" t="str">
        <f t="shared" si="0"/>
        <v>Unique</v>
      </c>
    </row>
    <row r="40" spans="1:14" x14ac:dyDescent="0.35">
      <c r="A40" t="s">
        <v>90</v>
      </c>
      <c r="B40" t="s">
        <v>31</v>
      </c>
      <c r="C40" t="s">
        <v>32</v>
      </c>
      <c r="D40" t="str">
        <f>PROPER(TRIM(C40))</f>
        <v>Dimas Saputra</v>
      </c>
      <c r="E40" t="s">
        <v>33</v>
      </c>
      <c r="F40" t="str">
        <f>IF(TRIM(E40)="","",IF(UPPER(TRIM(E40))="IT","IT",IF(UPPER(TRIM(E40))="HR","HR",PROPER(TRIM(E40)))))</f>
        <v>IT</v>
      </c>
      <c r="G40" s="2">
        <v>46294</v>
      </c>
      <c r="J40" t="s">
        <v>28</v>
      </c>
      <c r="K40" t="str">
        <f>PROPER(TRIM(J40))</f>
        <v>Absent</v>
      </c>
      <c r="N40" t="str">
        <f t="shared" si="0"/>
        <v>Unique</v>
      </c>
    </row>
    <row r="41" spans="1:14" x14ac:dyDescent="0.35">
      <c r="A41" t="s">
        <v>91</v>
      </c>
      <c r="B41" t="s">
        <v>46</v>
      </c>
      <c r="C41" t="s">
        <v>47</v>
      </c>
      <c r="D41" t="str">
        <f>PROPER(TRIM(C41))</f>
        <v>Bima Pratama</v>
      </c>
      <c r="E41" t="s">
        <v>12</v>
      </c>
      <c r="F41" t="str">
        <f>IF(TRIM(E41)="","",IF(UPPER(TRIM(E41))="IT","IT",IF(UPPER(TRIM(E41))="HR","HR",PROPER(TRIM(E41)))))</f>
        <v>Operations</v>
      </c>
      <c r="G41" s="2">
        <v>46289</v>
      </c>
      <c r="H41" s="3">
        <v>46289.34375</v>
      </c>
      <c r="I41" s="3">
        <v>46289.679861111108</v>
      </c>
      <c r="J41" t="s">
        <v>48</v>
      </c>
      <c r="K41" t="str">
        <f>PROPER(TRIM(J41))</f>
        <v>Late</v>
      </c>
      <c r="N41" t="str">
        <f t="shared" si="0"/>
        <v>Unique</v>
      </c>
    </row>
    <row r="42" spans="1:14" x14ac:dyDescent="0.35">
      <c r="A42" t="s">
        <v>92</v>
      </c>
      <c r="B42" t="s">
        <v>72</v>
      </c>
      <c r="C42" t="s">
        <v>73</v>
      </c>
      <c r="D42" t="str">
        <f>PROPER(TRIM(C42))</f>
        <v>Hadi Wijaya</v>
      </c>
      <c r="E42" t="s">
        <v>33</v>
      </c>
      <c r="F42" t="str">
        <f>IF(TRIM(E42)="","",IF(UPPER(TRIM(E42))="IT","IT",IF(UPPER(TRIM(E42))="HR","HR",PROPER(TRIM(E42)))))</f>
        <v>IT</v>
      </c>
      <c r="G42" s="2">
        <v>46283</v>
      </c>
      <c r="H42" s="3">
        <v>46283.336805555547</v>
      </c>
      <c r="I42" s="3">
        <v>46283.693055555559</v>
      </c>
      <c r="J42" t="s">
        <v>13</v>
      </c>
      <c r="K42" t="str">
        <f>PROPER(TRIM(J42))</f>
        <v>Present</v>
      </c>
      <c r="N42" t="str">
        <f t="shared" si="0"/>
        <v>Unique</v>
      </c>
    </row>
    <row r="43" spans="1:14" x14ac:dyDescent="0.35">
      <c r="A43" t="s">
        <v>93</v>
      </c>
      <c r="B43" t="s">
        <v>19</v>
      </c>
      <c r="C43" t="s">
        <v>20</v>
      </c>
      <c r="D43" t="str">
        <f>PROPER(TRIM(C43))</f>
        <v>Gita Maharani</v>
      </c>
      <c r="E43" t="s">
        <v>21</v>
      </c>
      <c r="F43" t="str">
        <f>IF(TRIM(E43)="","",IF(UPPER(TRIM(E43))="IT","IT",IF(UPPER(TRIM(E43))="HR","HR",PROPER(TRIM(E43)))))</f>
        <v>Finance</v>
      </c>
      <c r="G43" s="2">
        <v>46272</v>
      </c>
      <c r="J43" t="s">
        <v>28</v>
      </c>
      <c r="K43" t="str">
        <f>PROPER(TRIM(J43))</f>
        <v>Absent</v>
      </c>
      <c r="L43" t="s">
        <v>66</v>
      </c>
      <c r="N43" t="str">
        <f t="shared" si="0"/>
        <v>Unique</v>
      </c>
    </row>
    <row r="44" spans="1:14" x14ac:dyDescent="0.35">
      <c r="A44" t="s">
        <v>94</v>
      </c>
      <c r="B44" t="s">
        <v>39</v>
      </c>
      <c r="C44" t="s">
        <v>40</v>
      </c>
      <c r="D44" t="str">
        <f>PROPER(TRIM(C44))</f>
        <v>Lukman Hakim</v>
      </c>
      <c r="E44" t="s">
        <v>21</v>
      </c>
      <c r="F44" t="str">
        <f>IF(TRIM(E44)="","",IF(UPPER(TRIM(E44))="IT","IT",IF(UPPER(TRIM(E44))="HR","HR",PROPER(TRIM(E44)))))</f>
        <v>Finance</v>
      </c>
      <c r="G44" s="2">
        <v>46272</v>
      </c>
      <c r="J44" t="s">
        <v>54</v>
      </c>
      <c r="K44" t="str">
        <f>PROPER(TRIM(J44))</f>
        <v>Leave</v>
      </c>
      <c r="N44" t="str">
        <f t="shared" si="0"/>
        <v>Unique</v>
      </c>
    </row>
    <row r="45" spans="1:14" x14ac:dyDescent="0.35">
      <c r="A45" t="s">
        <v>95</v>
      </c>
      <c r="B45" t="s">
        <v>19</v>
      </c>
      <c r="C45" t="s">
        <v>20</v>
      </c>
      <c r="D45" t="str">
        <f>PROPER(TRIM(C45))</f>
        <v>Gita Maharani</v>
      </c>
      <c r="E45" t="s">
        <v>21</v>
      </c>
      <c r="F45" t="str">
        <f>IF(TRIM(E45)="","",IF(UPPER(TRIM(E45))="IT","IT",IF(UPPER(TRIM(E45))="HR","HR",PROPER(TRIM(E45)))))</f>
        <v>Finance</v>
      </c>
      <c r="G45" s="2">
        <v>46287</v>
      </c>
      <c r="J45" t="s">
        <v>54</v>
      </c>
      <c r="K45" t="str">
        <f>PROPER(TRIM(J45))</f>
        <v>Leave</v>
      </c>
      <c r="N45" t="str">
        <f t="shared" si="0"/>
        <v>Unique</v>
      </c>
    </row>
    <row r="46" spans="1:14" x14ac:dyDescent="0.35">
      <c r="A46" t="s">
        <v>96</v>
      </c>
      <c r="B46" t="s">
        <v>72</v>
      </c>
      <c r="C46" t="s">
        <v>73</v>
      </c>
      <c r="D46" t="str">
        <f>PROPER(TRIM(C46))</f>
        <v>Hadi Wijaya</v>
      </c>
      <c r="E46" t="s">
        <v>33</v>
      </c>
      <c r="F46" t="str">
        <f>IF(TRIM(E46)="","",IF(UPPER(TRIM(E46))="IT","IT",IF(UPPER(TRIM(E46))="HR","HR",PROPER(TRIM(E46)))))</f>
        <v>IT</v>
      </c>
      <c r="G46" s="2">
        <v>46294</v>
      </c>
      <c r="J46" t="s">
        <v>28</v>
      </c>
      <c r="K46" t="str">
        <f>PROPER(TRIM(J46))</f>
        <v>Absent</v>
      </c>
      <c r="L46" t="s">
        <v>29</v>
      </c>
      <c r="N46" t="str">
        <f t="shared" si="0"/>
        <v>Unique</v>
      </c>
    </row>
    <row r="47" spans="1:14" x14ac:dyDescent="0.35">
      <c r="A47" t="s">
        <v>97</v>
      </c>
      <c r="B47" t="s">
        <v>46</v>
      </c>
      <c r="C47" t="s">
        <v>98</v>
      </c>
      <c r="D47" t="str">
        <f>PROPER(TRIM(C47))</f>
        <v>Bima Pratama</v>
      </c>
      <c r="E47" t="s">
        <v>12</v>
      </c>
      <c r="F47" t="str">
        <f>IF(TRIM(E47)="","",IF(UPPER(TRIM(E47))="IT","IT",IF(UPPER(TRIM(E47))="HR","HR",PROPER(TRIM(E47)))))</f>
        <v>Operations</v>
      </c>
      <c r="G47" s="2">
        <v>46273</v>
      </c>
      <c r="H47" s="3">
        <v>46273.333333333343</v>
      </c>
      <c r="I47" s="3">
        <v>46273.681250000001</v>
      </c>
      <c r="J47" t="s">
        <v>13</v>
      </c>
      <c r="K47" t="str">
        <f>PROPER(TRIM(J47))</f>
        <v>Present</v>
      </c>
      <c r="N47" t="str">
        <f t="shared" si="0"/>
        <v>Unique</v>
      </c>
    </row>
    <row r="48" spans="1:14" x14ac:dyDescent="0.35">
      <c r="A48" t="s">
        <v>99</v>
      </c>
      <c r="B48" t="s">
        <v>50</v>
      </c>
      <c r="C48" t="s">
        <v>51</v>
      </c>
      <c r="D48" t="str">
        <f>PROPER(TRIM(C48))</f>
        <v>Joko Santoso</v>
      </c>
      <c r="E48" t="s">
        <v>17</v>
      </c>
      <c r="F48" t="str">
        <f>IF(TRIM(E48)="","",IF(UPPER(TRIM(E48))="IT","IT",IF(UPPER(TRIM(E48))="HR","HR",PROPER(TRIM(E48)))))</f>
        <v>HR</v>
      </c>
      <c r="G48" s="2">
        <v>46283</v>
      </c>
      <c r="H48" s="3">
        <v>46283.34375</v>
      </c>
      <c r="I48" s="3">
        <v>46283.686805555553</v>
      </c>
      <c r="J48" t="s">
        <v>13</v>
      </c>
      <c r="K48" t="str">
        <f>PROPER(TRIM(J48))</f>
        <v>Present</v>
      </c>
      <c r="N48" t="str">
        <f t="shared" si="0"/>
        <v>Unique</v>
      </c>
    </row>
    <row r="49" spans="1:14" x14ac:dyDescent="0.35">
      <c r="A49" t="s">
        <v>100</v>
      </c>
      <c r="B49" t="s">
        <v>46</v>
      </c>
      <c r="C49" t="s">
        <v>47</v>
      </c>
      <c r="D49" t="str">
        <f>PROPER(TRIM(C49))</f>
        <v>Bima Pratama</v>
      </c>
      <c r="E49" t="s">
        <v>12</v>
      </c>
      <c r="F49" t="str">
        <f>IF(TRIM(E49)="","",IF(UPPER(TRIM(E49))="IT","IT",IF(UPPER(TRIM(E49))="HR","HR",PROPER(TRIM(E49)))))</f>
        <v>Operations</v>
      </c>
      <c r="G49" s="2">
        <v>46288</v>
      </c>
      <c r="J49" t="s">
        <v>54</v>
      </c>
      <c r="K49" t="str">
        <f>PROPER(TRIM(J49))</f>
        <v>Leave</v>
      </c>
      <c r="N49" t="str">
        <f t="shared" si="0"/>
        <v>Unique</v>
      </c>
    </row>
    <row r="50" spans="1:14" x14ac:dyDescent="0.35">
      <c r="A50" t="s">
        <v>101</v>
      </c>
      <c r="B50" t="s">
        <v>31</v>
      </c>
      <c r="C50" t="s">
        <v>32</v>
      </c>
      <c r="D50" t="str">
        <f>PROPER(TRIM(C50))</f>
        <v>Dimas Saputra</v>
      </c>
      <c r="E50" t="s">
        <v>33</v>
      </c>
      <c r="F50" t="str">
        <f>IF(TRIM(E50)="","",IF(UPPER(TRIM(E50))="IT","IT",IF(UPPER(TRIM(E50))="HR","HR",PROPER(TRIM(E50)))))</f>
        <v>IT</v>
      </c>
      <c r="G50" s="2">
        <v>46268</v>
      </c>
      <c r="H50" s="3">
        <v>46268.336805555547</v>
      </c>
      <c r="I50" s="3">
        <v>46268.67291666667</v>
      </c>
      <c r="J50" t="s">
        <v>13</v>
      </c>
      <c r="K50" t="str">
        <f>PROPER(TRIM(J50))</f>
        <v>Present</v>
      </c>
      <c r="N50" t="str">
        <f t="shared" si="0"/>
        <v>Unique</v>
      </c>
    </row>
    <row r="51" spans="1:14" x14ac:dyDescent="0.35">
      <c r="A51" t="s">
        <v>102</v>
      </c>
      <c r="B51" t="s">
        <v>31</v>
      </c>
      <c r="C51" t="s">
        <v>103</v>
      </c>
      <c r="D51" t="str">
        <f>PROPER(TRIM(C51))</f>
        <v>Dimas Saputra</v>
      </c>
      <c r="E51" t="s">
        <v>33</v>
      </c>
      <c r="F51" t="str">
        <f>IF(TRIM(E51)="","",IF(UPPER(TRIM(E51))="IT","IT",IF(UPPER(TRIM(E51))="HR","HR",PROPER(TRIM(E51)))))</f>
        <v>IT</v>
      </c>
      <c r="G51" s="2">
        <v>46274</v>
      </c>
      <c r="J51" t="s">
        <v>54</v>
      </c>
      <c r="K51" t="str">
        <f>PROPER(TRIM(J51))</f>
        <v>Leave</v>
      </c>
      <c r="L51" t="s">
        <v>29</v>
      </c>
      <c r="N51" t="str">
        <f t="shared" si="0"/>
        <v>Unique</v>
      </c>
    </row>
    <row r="52" spans="1:14" x14ac:dyDescent="0.35">
      <c r="A52" t="s">
        <v>104</v>
      </c>
      <c r="B52" t="s">
        <v>31</v>
      </c>
      <c r="C52" t="s">
        <v>32</v>
      </c>
      <c r="D52" t="str">
        <f>PROPER(TRIM(C52))</f>
        <v>Dimas Saputra</v>
      </c>
      <c r="E52" t="s">
        <v>33</v>
      </c>
      <c r="F52" t="str">
        <f>IF(TRIM(E52)="","",IF(UPPER(TRIM(E52))="IT","IT",IF(UPPER(TRIM(E52))="HR","HR",PROPER(TRIM(E52)))))</f>
        <v>IT</v>
      </c>
      <c r="G52" s="2">
        <v>46283</v>
      </c>
      <c r="H52" s="3">
        <v>46283.34375</v>
      </c>
      <c r="I52" s="3">
        <v>46283.70208333333</v>
      </c>
      <c r="J52" t="s">
        <v>13</v>
      </c>
      <c r="K52" t="str">
        <f>PROPER(TRIM(J52))</f>
        <v>Present</v>
      </c>
      <c r="N52" t="str">
        <f t="shared" si="0"/>
        <v>Unique</v>
      </c>
    </row>
    <row r="53" spans="1:14" x14ac:dyDescent="0.35">
      <c r="A53" t="s">
        <v>105</v>
      </c>
      <c r="B53" t="s">
        <v>31</v>
      </c>
      <c r="C53" t="s">
        <v>32</v>
      </c>
      <c r="D53" t="str">
        <f>PROPER(TRIM(C53))</f>
        <v>Dimas Saputra</v>
      </c>
      <c r="E53" t="s">
        <v>33</v>
      </c>
      <c r="F53" t="str">
        <f>IF(TRIM(E53)="","",IF(UPPER(TRIM(E53))="IT","IT",IF(UPPER(TRIM(E53))="HR","HR",PROPER(TRIM(E53)))))</f>
        <v>IT</v>
      </c>
      <c r="G53" s="2">
        <v>46293</v>
      </c>
      <c r="H53" s="3">
        <v>46293.34375</v>
      </c>
      <c r="I53" s="3">
        <v>46293.679166666669</v>
      </c>
      <c r="J53" t="s">
        <v>48</v>
      </c>
      <c r="K53" t="str">
        <f>PROPER(TRIM(J53))</f>
        <v>Late</v>
      </c>
      <c r="N53" t="str">
        <f t="shared" si="0"/>
        <v>Unique</v>
      </c>
    </row>
    <row r="54" spans="1:14" x14ac:dyDescent="0.35">
      <c r="A54" t="s">
        <v>106</v>
      </c>
      <c r="B54" t="s">
        <v>10</v>
      </c>
      <c r="C54" t="s">
        <v>11</v>
      </c>
      <c r="D54" t="str">
        <f>PROPER(TRIM(C54))</f>
        <v>Kirana Dewi</v>
      </c>
      <c r="E54" t="s">
        <v>12</v>
      </c>
      <c r="F54" t="str">
        <f>IF(TRIM(E54)="","",IF(UPPER(TRIM(E54))="IT","IT",IF(UPPER(TRIM(E54))="HR","HR",PROPER(TRIM(E54)))))</f>
        <v>Operations</v>
      </c>
      <c r="G54" s="2">
        <v>46279</v>
      </c>
      <c r="H54" s="3">
        <v>46279.340277777781</v>
      </c>
      <c r="I54" s="3">
        <v>46279.691666666673</v>
      </c>
      <c r="J54" t="s">
        <v>13</v>
      </c>
      <c r="K54" t="str">
        <f>PROPER(TRIM(J54))</f>
        <v>Present</v>
      </c>
      <c r="N54" t="str">
        <f t="shared" si="0"/>
        <v>Unique</v>
      </c>
    </row>
    <row r="55" spans="1:14" x14ac:dyDescent="0.35">
      <c r="A55" t="s">
        <v>107</v>
      </c>
      <c r="B55" t="s">
        <v>39</v>
      </c>
      <c r="C55" t="s">
        <v>40</v>
      </c>
      <c r="D55" t="str">
        <f>PROPER(TRIM(C55))</f>
        <v>Lukman Hakim</v>
      </c>
      <c r="E55" t="s">
        <v>21</v>
      </c>
      <c r="F55" t="str">
        <f>IF(TRIM(E55)="","",IF(UPPER(TRIM(E55))="IT","IT",IF(UPPER(TRIM(E55))="HR","HR",PROPER(TRIM(E55)))))</f>
        <v>Finance</v>
      </c>
      <c r="G55" s="2">
        <v>46267</v>
      </c>
      <c r="J55" t="s">
        <v>54</v>
      </c>
      <c r="K55" t="str">
        <f>PROPER(TRIM(J55))</f>
        <v>Leave</v>
      </c>
      <c r="L55" t="s">
        <v>66</v>
      </c>
      <c r="N55" t="str">
        <f t="shared" si="0"/>
        <v>Unique</v>
      </c>
    </row>
    <row r="56" spans="1:14" x14ac:dyDescent="0.35">
      <c r="A56" t="s">
        <v>108</v>
      </c>
      <c r="B56" t="s">
        <v>10</v>
      </c>
      <c r="C56" t="s">
        <v>11</v>
      </c>
      <c r="D56" t="str">
        <f>PROPER(TRIM(C56))</f>
        <v>Kirana Dewi</v>
      </c>
      <c r="E56" t="s">
        <v>12</v>
      </c>
      <c r="F56" t="str">
        <f>IF(TRIM(E56)="","",IF(UPPER(TRIM(E56))="IT","IT",IF(UPPER(TRIM(E56))="HR","HR",PROPER(TRIM(E56)))))</f>
        <v>Operations</v>
      </c>
      <c r="G56" s="2">
        <v>46269</v>
      </c>
      <c r="H56" s="3">
        <v>46269.340277777781</v>
      </c>
      <c r="I56" s="3">
        <v>46269.688194444447</v>
      </c>
      <c r="J56" t="s">
        <v>13</v>
      </c>
      <c r="K56" t="str">
        <f>PROPER(TRIM(J56))</f>
        <v>Present</v>
      </c>
      <c r="N56" t="str">
        <f t="shared" si="0"/>
        <v>Unique</v>
      </c>
    </row>
    <row r="57" spans="1:14" x14ac:dyDescent="0.35">
      <c r="A57" t="s">
        <v>109</v>
      </c>
      <c r="B57" t="s">
        <v>31</v>
      </c>
      <c r="C57" t="s">
        <v>103</v>
      </c>
      <c r="D57" t="str">
        <f>PROPER(TRIM(C57))</f>
        <v>Dimas Saputra</v>
      </c>
      <c r="E57" t="s">
        <v>33</v>
      </c>
      <c r="F57" t="str">
        <f>IF(TRIM(E57)="","",IF(UPPER(TRIM(E57))="IT","IT",IF(UPPER(TRIM(E57))="HR","HR",PROPER(TRIM(E57)))))</f>
        <v>IT</v>
      </c>
      <c r="G57" s="2">
        <v>46272</v>
      </c>
      <c r="H57" s="3">
        <v>46272.34375</v>
      </c>
      <c r="I57" s="3">
        <v>46272.696527777778</v>
      </c>
      <c r="J57" t="s">
        <v>13</v>
      </c>
      <c r="K57" t="str">
        <f>PROPER(TRIM(J57))</f>
        <v>Present</v>
      </c>
      <c r="N57" t="str">
        <f t="shared" si="0"/>
        <v>Unique</v>
      </c>
    </row>
    <row r="58" spans="1:14" x14ac:dyDescent="0.35">
      <c r="A58" t="s">
        <v>110</v>
      </c>
      <c r="B58" t="s">
        <v>19</v>
      </c>
      <c r="C58" t="s">
        <v>20</v>
      </c>
      <c r="D58" t="str">
        <f>PROPER(TRIM(C58))</f>
        <v>Gita Maharani</v>
      </c>
      <c r="E58" t="s">
        <v>21</v>
      </c>
      <c r="F58" t="str">
        <f>IF(TRIM(E58)="","",IF(UPPER(TRIM(E58))="IT","IT",IF(UPPER(TRIM(E58))="HR","HR",PROPER(TRIM(E58)))))</f>
        <v>Finance</v>
      </c>
      <c r="G58" s="2">
        <v>46272</v>
      </c>
      <c r="H58" s="3">
        <v>46272.340277777781</v>
      </c>
      <c r="I58" s="3">
        <v>46272.684027777781</v>
      </c>
      <c r="J58" t="s">
        <v>13</v>
      </c>
      <c r="K58" t="str">
        <f>PROPER(TRIM(J58))</f>
        <v>Present</v>
      </c>
      <c r="N58" t="str">
        <f t="shared" si="0"/>
        <v>Unique</v>
      </c>
    </row>
    <row r="59" spans="1:14" x14ac:dyDescent="0.35">
      <c r="A59" t="s">
        <v>111</v>
      </c>
      <c r="B59" t="s">
        <v>72</v>
      </c>
      <c r="C59" t="s">
        <v>73</v>
      </c>
      <c r="D59" t="str">
        <f>PROPER(TRIM(C59))</f>
        <v>Hadi Wijaya</v>
      </c>
      <c r="E59" t="s">
        <v>33</v>
      </c>
      <c r="F59" t="str">
        <f>IF(TRIM(E59)="","",IF(UPPER(TRIM(E59))="IT","IT",IF(UPPER(TRIM(E59))="HR","HR",PROPER(TRIM(E59)))))</f>
        <v>IT</v>
      </c>
      <c r="G59" t="s">
        <v>112</v>
      </c>
      <c r="J59" t="s">
        <v>37</v>
      </c>
      <c r="K59" t="str">
        <f>PROPER(TRIM(J59))</f>
        <v>Sick</v>
      </c>
      <c r="L59" t="s">
        <v>113</v>
      </c>
      <c r="N59" t="str">
        <f t="shared" si="0"/>
        <v>Unique</v>
      </c>
    </row>
    <row r="60" spans="1:14" x14ac:dyDescent="0.35">
      <c r="A60" t="s">
        <v>114</v>
      </c>
      <c r="B60" t="s">
        <v>46</v>
      </c>
      <c r="C60" t="s">
        <v>98</v>
      </c>
      <c r="D60" t="str">
        <f>PROPER(TRIM(C60))</f>
        <v>Bima Pratama</v>
      </c>
      <c r="E60" t="s">
        <v>12</v>
      </c>
      <c r="F60" t="str">
        <f>IF(TRIM(E60)="","",IF(UPPER(TRIM(E60))="IT","IT",IF(UPPER(TRIM(E60))="HR","HR",PROPER(TRIM(E60)))))</f>
        <v>Operations</v>
      </c>
      <c r="G60" s="2">
        <v>46267</v>
      </c>
      <c r="J60" t="s">
        <v>54</v>
      </c>
      <c r="K60" t="str">
        <f>PROPER(TRIM(J60))</f>
        <v>Leave</v>
      </c>
      <c r="L60" t="s">
        <v>113</v>
      </c>
      <c r="N60" t="str">
        <f t="shared" si="0"/>
        <v>Unique</v>
      </c>
    </row>
    <row r="61" spans="1:14" x14ac:dyDescent="0.35">
      <c r="A61" t="s">
        <v>115</v>
      </c>
      <c r="B61" t="s">
        <v>35</v>
      </c>
      <c r="C61" t="s">
        <v>36</v>
      </c>
      <c r="D61" t="str">
        <f>PROPER(TRIM(C61))</f>
        <v>Alya Putri</v>
      </c>
      <c r="E61" t="s">
        <v>21</v>
      </c>
      <c r="F61" t="str">
        <f>IF(TRIM(E61)="","",IF(UPPER(TRIM(E61))="IT","IT",IF(UPPER(TRIM(E61))="HR","HR",PROPER(TRIM(E61)))))</f>
        <v>Finance</v>
      </c>
      <c r="G61" s="2">
        <v>46268</v>
      </c>
      <c r="J61" t="s">
        <v>37</v>
      </c>
      <c r="K61" t="str">
        <f>PROPER(TRIM(J61))</f>
        <v>Sick</v>
      </c>
      <c r="N61" t="str">
        <f t="shared" si="0"/>
        <v>Unique</v>
      </c>
    </row>
    <row r="62" spans="1:14" x14ac:dyDescent="0.35">
      <c r="A62" t="s">
        <v>116</v>
      </c>
      <c r="B62" t="s">
        <v>15</v>
      </c>
      <c r="C62" t="s">
        <v>16</v>
      </c>
      <c r="D62" t="str">
        <f>PROPER(TRIM(C62))</f>
        <v>Citra Lestari</v>
      </c>
      <c r="E62" t="s">
        <v>17</v>
      </c>
      <c r="F62" t="str">
        <f>IF(TRIM(E62)="","",IF(UPPER(TRIM(E62))="IT","IT",IF(UPPER(TRIM(E62))="HR","HR",PROPER(TRIM(E62)))))</f>
        <v>HR</v>
      </c>
      <c r="G62" s="2">
        <v>46279</v>
      </c>
      <c r="H62" s="3">
        <v>46279.34375</v>
      </c>
      <c r="I62" s="3">
        <v>46279.695833333331</v>
      </c>
      <c r="J62" t="s">
        <v>48</v>
      </c>
      <c r="K62" t="str">
        <f>PROPER(TRIM(J62))</f>
        <v>Late</v>
      </c>
      <c r="N62" t="str">
        <f t="shared" si="0"/>
        <v>Unique</v>
      </c>
    </row>
    <row r="63" spans="1:14" x14ac:dyDescent="0.35">
      <c r="A63" t="s">
        <v>117</v>
      </c>
      <c r="B63" t="s">
        <v>35</v>
      </c>
      <c r="C63" t="s">
        <v>36</v>
      </c>
      <c r="D63" t="str">
        <f>PROPER(TRIM(C63))</f>
        <v>Alya Putri</v>
      </c>
      <c r="E63" t="s">
        <v>21</v>
      </c>
      <c r="F63" t="str">
        <f>IF(TRIM(E63)="","",IF(UPPER(TRIM(E63))="IT","IT",IF(UPPER(TRIM(E63))="HR","HR",PROPER(TRIM(E63)))))</f>
        <v>Finance</v>
      </c>
      <c r="G63" s="2">
        <v>46272</v>
      </c>
      <c r="H63" s="3">
        <v>46272.361111111109</v>
      </c>
      <c r="I63" s="3">
        <v>46272.7</v>
      </c>
      <c r="J63" t="s">
        <v>48</v>
      </c>
      <c r="K63" t="str">
        <f>PROPER(TRIM(J63))</f>
        <v>Late</v>
      </c>
      <c r="N63" t="str">
        <f t="shared" si="0"/>
        <v>Unique</v>
      </c>
    </row>
    <row r="64" spans="1:14" x14ac:dyDescent="0.35">
      <c r="A64" t="s">
        <v>118</v>
      </c>
      <c r="B64" t="s">
        <v>64</v>
      </c>
      <c r="C64" t="s">
        <v>65</v>
      </c>
      <c r="D64" t="str">
        <f>PROPER(TRIM(C64))</f>
        <v>Eka Wulandari</v>
      </c>
      <c r="E64" t="s">
        <v>62</v>
      </c>
      <c r="F64" t="str">
        <f>IF(TRIM(E64)="","",IF(UPPER(TRIM(E64))="IT","IT",IF(UPPER(TRIM(E64))="HR","HR",PROPER(TRIM(E64)))))</f>
        <v>Sales</v>
      </c>
      <c r="G64" s="2">
        <v>46279</v>
      </c>
      <c r="J64" t="s">
        <v>54</v>
      </c>
      <c r="K64" t="str">
        <f>PROPER(TRIM(J64))</f>
        <v>Leave</v>
      </c>
      <c r="L64" t="s">
        <v>66</v>
      </c>
      <c r="N64" t="str">
        <f t="shared" si="0"/>
        <v>Unique</v>
      </c>
    </row>
    <row r="65" spans="1:14" x14ac:dyDescent="0.35">
      <c r="A65" t="s">
        <v>119</v>
      </c>
      <c r="B65" t="s">
        <v>23</v>
      </c>
      <c r="C65" t="s">
        <v>24</v>
      </c>
      <c r="D65" t="str">
        <f>PROPER(TRIM(C65))</f>
        <v>Intan Permata</v>
      </c>
      <c r="E65" t="s">
        <v>62</v>
      </c>
      <c r="F65" t="str">
        <f>IF(TRIM(E65)="","",IF(UPPER(TRIM(E65))="IT","IT",IF(UPPER(TRIM(E65))="HR","HR",PROPER(TRIM(E65)))))</f>
        <v>Sales</v>
      </c>
      <c r="G65" s="2">
        <v>46287</v>
      </c>
      <c r="J65" t="s">
        <v>54</v>
      </c>
      <c r="K65" t="str">
        <f>PROPER(TRIM(J65))</f>
        <v>Leave</v>
      </c>
      <c r="L65" t="s">
        <v>29</v>
      </c>
      <c r="N65" t="str">
        <f t="shared" si="0"/>
        <v>Unique</v>
      </c>
    </row>
    <row r="66" spans="1:14" x14ac:dyDescent="0.35">
      <c r="A66" t="s">
        <v>120</v>
      </c>
      <c r="B66" t="s">
        <v>15</v>
      </c>
      <c r="C66" t="s">
        <v>16</v>
      </c>
      <c r="D66" t="str">
        <f>PROPER(TRIM(C66))</f>
        <v>Citra Lestari</v>
      </c>
      <c r="E66" t="s">
        <v>17</v>
      </c>
      <c r="F66" t="str">
        <f>IF(TRIM(E66)="","",IF(UPPER(TRIM(E66))="IT","IT",IF(UPPER(TRIM(E66))="HR","HR",PROPER(TRIM(E66)))))</f>
        <v>HR</v>
      </c>
      <c r="G66" s="2">
        <v>46272</v>
      </c>
      <c r="H66" s="3">
        <v>46272.334027777782</v>
      </c>
      <c r="I66" s="3">
        <v>46272.669444444437</v>
      </c>
      <c r="J66" t="s">
        <v>13</v>
      </c>
      <c r="K66" t="str">
        <f>PROPER(TRIM(J66))</f>
        <v>Present</v>
      </c>
      <c r="N66" t="str">
        <f t="shared" si="0"/>
        <v>Unique</v>
      </c>
    </row>
    <row r="67" spans="1:14" x14ac:dyDescent="0.35">
      <c r="A67" t="s">
        <v>121</v>
      </c>
      <c r="B67" t="s">
        <v>39</v>
      </c>
      <c r="C67" t="s">
        <v>40</v>
      </c>
      <c r="D67" t="str">
        <f>PROPER(TRIM(C67))</f>
        <v>Lukman Hakim</v>
      </c>
      <c r="E67" t="s">
        <v>21</v>
      </c>
      <c r="F67" t="str">
        <f>IF(TRIM(E67)="","",IF(UPPER(TRIM(E67))="IT","IT",IF(UPPER(TRIM(E67))="HR","HR",PROPER(TRIM(E67)))))</f>
        <v>Finance</v>
      </c>
      <c r="G67" s="2">
        <v>46283</v>
      </c>
      <c r="H67" s="3">
        <v>46283.336805555547</v>
      </c>
      <c r="I67" s="3">
        <v>46283.672222222223</v>
      </c>
      <c r="J67" t="s">
        <v>13</v>
      </c>
      <c r="K67" t="str">
        <f>PROPER(TRIM(J67))</f>
        <v>Present</v>
      </c>
      <c r="N67" t="str">
        <f t="shared" ref="N67:N130" si="1">IF(COUNTIF($A:$A,A67)&gt;1,"Check Duplicate","Unique")</f>
        <v>Unique</v>
      </c>
    </row>
    <row r="68" spans="1:14" x14ac:dyDescent="0.35">
      <c r="A68" t="s">
        <v>122</v>
      </c>
      <c r="B68" t="s">
        <v>50</v>
      </c>
      <c r="C68" t="s">
        <v>51</v>
      </c>
      <c r="D68" t="str">
        <f>PROPER(TRIM(C68))</f>
        <v>Joko Santoso</v>
      </c>
      <c r="E68" t="s">
        <v>17</v>
      </c>
      <c r="F68" t="str">
        <f>IF(TRIM(E68)="","",IF(UPPER(TRIM(E68))="IT","IT",IF(UPPER(TRIM(E68))="HR","HR",PROPER(TRIM(E68)))))</f>
        <v>HR</v>
      </c>
      <c r="G68" s="2">
        <v>46281</v>
      </c>
      <c r="J68" t="s">
        <v>28</v>
      </c>
      <c r="K68" t="str">
        <f>PROPER(TRIM(J68))</f>
        <v>Absent</v>
      </c>
      <c r="L68" t="s">
        <v>113</v>
      </c>
      <c r="N68" t="str">
        <f t="shared" si="1"/>
        <v>Unique</v>
      </c>
    </row>
    <row r="69" spans="1:14" x14ac:dyDescent="0.35">
      <c r="A69" t="s">
        <v>123</v>
      </c>
      <c r="B69" t="s">
        <v>15</v>
      </c>
      <c r="C69" t="s">
        <v>16</v>
      </c>
      <c r="D69" t="str">
        <f>PROPER(TRIM(C69))</f>
        <v>Citra Lestari</v>
      </c>
      <c r="E69" t="s">
        <v>17</v>
      </c>
      <c r="F69" t="str">
        <f>IF(TRIM(E69)="","",IF(UPPER(TRIM(E69))="IT","IT",IF(UPPER(TRIM(E69))="HR","HR",PROPER(TRIM(E69)))))</f>
        <v>HR</v>
      </c>
      <c r="G69" s="2">
        <v>46267</v>
      </c>
      <c r="J69" t="s">
        <v>28</v>
      </c>
      <c r="K69" t="str">
        <f>PROPER(TRIM(J69))</f>
        <v>Absent</v>
      </c>
      <c r="N69" t="str">
        <f t="shared" si="1"/>
        <v>Unique</v>
      </c>
    </row>
    <row r="70" spans="1:14" x14ac:dyDescent="0.35">
      <c r="A70" t="s">
        <v>124</v>
      </c>
      <c r="B70" t="s">
        <v>15</v>
      </c>
      <c r="C70" t="s">
        <v>16</v>
      </c>
      <c r="D70" t="str">
        <f>PROPER(TRIM(C70))</f>
        <v>Citra Lestari</v>
      </c>
      <c r="E70" t="s">
        <v>17</v>
      </c>
      <c r="F70" t="str">
        <f>IF(TRIM(E70)="","",IF(UPPER(TRIM(E70))="IT","IT",IF(UPPER(TRIM(E70))="HR","HR",PROPER(TRIM(E70)))))</f>
        <v>HR</v>
      </c>
      <c r="G70" s="2">
        <v>46268</v>
      </c>
      <c r="J70" t="s">
        <v>28</v>
      </c>
      <c r="K70" t="str">
        <f>PROPER(TRIM(J70))</f>
        <v>Absent</v>
      </c>
      <c r="N70" t="str">
        <f t="shared" si="1"/>
        <v>Unique</v>
      </c>
    </row>
    <row r="71" spans="1:14" x14ac:dyDescent="0.35">
      <c r="A71" t="s">
        <v>125</v>
      </c>
      <c r="B71" t="s">
        <v>10</v>
      </c>
      <c r="C71" t="s">
        <v>11</v>
      </c>
      <c r="D71" t="str">
        <f>PROPER(TRIM(C71))</f>
        <v>Kirana Dewi</v>
      </c>
      <c r="E71" t="s">
        <v>12</v>
      </c>
      <c r="F71" t="str">
        <f>IF(TRIM(E71)="","",IF(UPPER(TRIM(E71))="IT","IT",IF(UPPER(TRIM(E71))="HR","HR",PROPER(TRIM(E71)))))</f>
        <v>Operations</v>
      </c>
      <c r="G71" s="2">
        <v>46293</v>
      </c>
      <c r="H71" s="3">
        <v>46293.340277777781</v>
      </c>
      <c r="I71" s="3">
        <v>46293.678472222222</v>
      </c>
      <c r="J71" t="s">
        <v>13</v>
      </c>
      <c r="K71" t="str">
        <f>PROPER(TRIM(J71))</f>
        <v>Present</v>
      </c>
      <c r="N71" t="str">
        <f t="shared" si="1"/>
        <v>Unique</v>
      </c>
    </row>
    <row r="72" spans="1:14" x14ac:dyDescent="0.35">
      <c r="A72" t="s">
        <v>126</v>
      </c>
      <c r="B72" t="s">
        <v>31</v>
      </c>
      <c r="C72" t="s">
        <v>103</v>
      </c>
      <c r="D72" t="str">
        <f>PROPER(TRIM(C72))</f>
        <v>Dimas Saputra</v>
      </c>
      <c r="E72" t="s">
        <v>127</v>
      </c>
      <c r="F72" t="str">
        <f>IF(TRIM(E72)="","",IF(UPPER(TRIM(E72))="IT","IT",IF(UPPER(TRIM(E72))="HR","HR",PROPER(TRIM(E72)))))</f>
        <v>IT</v>
      </c>
      <c r="G72" s="2">
        <v>46286</v>
      </c>
      <c r="J72" t="s">
        <v>28</v>
      </c>
      <c r="K72" t="str">
        <f>PROPER(TRIM(J72))</f>
        <v>Absent</v>
      </c>
      <c r="N72" t="str">
        <f t="shared" si="1"/>
        <v>Unique</v>
      </c>
    </row>
    <row r="73" spans="1:14" x14ac:dyDescent="0.35">
      <c r="A73" t="s">
        <v>128</v>
      </c>
      <c r="B73" t="s">
        <v>50</v>
      </c>
      <c r="C73" t="s">
        <v>51</v>
      </c>
      <c r="D73" t="str">
        <f>PROPER(TRIM(C73))</f>
        <v>Joko Santoso</v>
      </c>
      <c r="E73" t="s">
        <v>17</v>
      </c>
      <c r="F73" t="str">
        <f>IF(TRIM(E73)="","",IF(UPPER(TRIM(E73))="IT","IT",IF(UPPER(TRIM(E73))="HR","HR",PROPER(TRIM(E73)))))</f>
        <v>HR</v>
      </c>
      <c r="G73" s="2">
        <v>46268</v>
      </c>
      <c r="H73" s="3">
        <v>46268.392361111109</v>
      </c>
      <c r="I73" s="3">
        <v>46268.745833333327</v>
      </c>
      <c r="J73" t="s">
        <v>48</v>
      </c>
      <c r="K73" t="str">
        <f>PROPER(TRIM(J73))</f>
        <v>Late</v>
      </c>
      <c r="N73" t="str">
        <f t="shared" si="1"/>
        <v>Unique</v>
      </c>
    </row>
    <row r="74" spans="1:14" x14ac:dyDescent="0.35">
      <c r="A74" t="s">
        <v>129</v>
      </c>
      <c r="C74" t="s">
        <v>103</v>
      </c>
      <c r="D74" t="str">
        <f>PROPER(TRIM(C74))</f>
        <v>Dimas Saputra</v>
      </c>
      <c r="E74" t="s">
        <v>33</v>
      </c>
      <c r="F74" t="str">
        <f>IF(TRIM(E74)="","",IF(UPPER(TRIM(E74))="IT","IT",IF(UPPER(TRIM(E74))="HR","HR",PROPER(TRIM(E74)))))</f>
        <v>IT</v>
      </c>
      <c r="G74" s="2">
        <v>46287</v>
      </c>
      <c r="J74" t="s">
        <v>54</v>
      </c>
      <c r="K74" t="str">
        <f>PROPER(TRIM(J74))</f>
        <v>Leave</v>
      </c>
      <c r="N74" t="str">
        <f t="shared" si="1"/>
        <v>Unique</v>
      </c>
    </row>
    <row r="75" spans="1:14" x14ac:dyDescent="0.35">
      <c r="A75" t="s">
        <v>130</v>
      </c>
      <c r="B75" t="s">
        <v>31</v>
      </c>
      <c r="C75" t="s">
        <v>32</v>
      </c>
      <c r="D75" t="str">
        <f>PROPER(TRIM(C75))</f>
        <v>Dimas Saputra</v>
      </c>
      <c r="E75" t="s">
        <v>33</v>
      </c>
      <c r="F75" t="str">
        <f>IF(TRIM(E75)="","",IF(UPPER(TRIM(E75))="IT","IT",IF(UPPER(TRIM(E75))="HR","HR",PROPER(TRIM(E75)))))</f>
        <v>IT</v>
      </c>
      <c r="G75" s="2">
        <v>46274</v>
      </c>
      <c r="H75" s="3">
        <v>46274.350694444453</v>
      </c>
      <c r="I75" s="3">
        <v>46274.693749999999</v>
      </c>
      <c r="J75" t="s">
        <v>48</v>
      </c>
      <c r="K75" t="str">
        <f>PROPER(TRIM(J75))</f>
        <v>Late</v>
      </c>
      <c r="N75" t="str">
        <f t="shared" si="1"/>
        <v>Check Duplicate</v>
      </c>
    </row>
    <row r="76" spans="1:14" x14ac:dyDescent="0.35">
      <c r="A76" t="s">
        <v>131</v>
      </c>
      <c r="B76" t="s">
        <v>46</v>
      </c>
      <c r="C76" t="s">
        <v>47</v>
      </c>
      <c r="D76" t="str">
        <f>PROPER(TRIM(C76))</f>
        <v>Bima Pratama</v>
      </c>
      <c r="E76" t="s">
        <v>83</v>
      </c>
      <c r="F76" t="str">
        <f>IF(TRIM(E76)="","",IF(UPPER(TRIM(E76))="IT","IT",IF(UPPER(TRIM(E76))="HR","HR",PROPER(TRIM(E76)))))</f>
        <v>Operations</v>
      </c>
      <c r="G76" s="2">
        <v>46266</v>
      </c>
      <c r="H76" s="3">
        <v>46266.381944444453</v>
      </c>
      <c r="I76" s="3">
        <v>46266.716666666667</v>
      </c>
      <c r="J76" t="s">
        <v>48</v>
      </c>
      <c r="K76" t="str">
        <f>PROPER(TRIM(J76))</f>
        <v>Late</v>
      </c>
      <c r="N76" t="str">
        <f t="shared" si="1"/>
        <v>Unique</v>
      </c>
    </row>
    <row r="77" spans="1:14" x14ac:dyDescent="0.35">
      <c r="A77" t="s">
        <v>132</v>
      </c>
      <c r="B77" t="s">
        <v>31</v>
      </c>
      <c r="C77" t="s">
        <v>103</v>
      </c>
      <c r="D77" t="str">
        <f>PROPER(TRIM(C77))</f>
        <v>Dimas Saputra</v>
      </c>
      <c r="E77" t="s">
        <v>33</v>
      </c>
      <c r="F77" t="str">
        <f>IF(TRIM(E77)="","",IF(UPPER(TRIM(E77))="IT","IT",IF(UPPER(TRIM(E77))="HR","HR",PROPER(TRIM(E77)))))</f>
        <v>IT</v>
      </c>
      <c r="G77" s="2">
        <v>46282</v>
      </c>
      <c r="H77" s="3">
        <v>46282.334027777782</v>
      </c>
      <c r="I77" s="3">
        <v>46282.682638888888</v>
      </c>
      <c r="J77" t="s">
        <v>13</v>
      </c>
      <c r="K77" t="str">
        <f>PROPER(TRIM(J77))</f>
        <v>Present</v>
      </c>
      <c r="N77" t="str">
        <f t="shared" si="1"/>
        <v>Unique</v>
      </c>
    </row>
    <row r="78" spans="1:14" x14ac:dyDescent="0.35">
      <c r="A78" t="s">
        <v>133</v>
      </c>
      <c r="B78" t="s">
        <v>31</v>
      </c>
      <c r="C78" t="s">
        <v>32</v>
      </c>
      <c r="D78" t="str">
        <f>PROPER(TRIM(C78))</f>
        <v>Dimas Saputra</v>
      </c>
      <c r="E78" t="s">
        <v>33</v>
      </c>
      <c r="F78" t="str">
        <f>IF(TRIM(E78)="","",IF(UPPER(TRIM(E78))="IT","IT",IF(UPPER(TRIM(E78))="HR","HR",PROPER(TRIM(E78)))))</f>
        <v>IT</v>
      </c>
      <c r="G78" s="2">
        <v>46279</v>
      </c>
      <c r="H78" s="3">
        <v>46279.334027777782</v>
      </c>
      <c r="I78" s="3">
        <v>46279.686805555553</v>
      </c>
      <c r="J78" t="s">
        <v>13</v>
      </c>
      <c r="K78" t="str">
        <f>PROPER(TRIM(J78))</f>
        <v>Present</v>
      </c>
      <c r="N78" t="str">
        <f t="shared" si="1"/>
        <v>Unique</v>
      </c>
    </row>
    <row r="79" spans="1:14" x14ac:dyDescent="0.35">
      <c r="A79" t="s">
        <v>134</v>
      </c>
      <c r="B79" t="s">
        <v>39</v>
      </c>
      <c r="C79" t="s">
        <v>135</v>
      </c>
      <c r="D79" t="str">
        <f>PROPER(TRIM(C79))</f>
        <v>Lukman Hakim</v>
      </c>
      <c r="E79" t="s">
        <v>21</v>
      </c>
      <c r="F79" t="str">
        <f>IF(TRIM(E79)="","",IF(UPPER(TRIM(E79))="IT","IT",IF(UPPER(TRIM(E79))="HR","HR",PROPER(TRIM(E79)))))</f>
        <v>Finance</v>
      </c>
      <c r="G79" s="2">
        <v>46275</v>
      </c>
      <c r="J79" t="s">
        <v>28</v>
      </c>
      <c r="K79" t="str">
        <f>PROPER(TRIM(J79))</f>
        <v>Absent</v>
      </c>
      <c r="L79" t="s">
        <v>66</v>
      </c>
      <c r="N79" t="str">
        <f t="shared" si="1"/>
        <v>Unique</v>
      </c>
    </row>
    <row r="80" spans="1:14" x14ac:dyDescent="0.35">
      <c r="A80" t="s">
        <v>136</v>
      </c>
      <c r="B80" t="s">
        <v>23</v>
      </c>
      <c r="C80" t="s">
        <v>24</v>
      </c>
      <c r="D80" t="str">
        <f>PROPER(TRIM(C80))</f>
        <v>Intan Permata</v>
      </c>
      <c r="E80" t="s">
        <v>62</v>
      </c>
      <c r="F80" t="str">
        <f>IF(TRIM(E80)="","",IF(UPPER(TRIM(E80))="IT","IT",IF(UPPER(TRIM(E80))="HR","HR",PROPER(TRIM(E80)))))</f>
        <v>Sales</v>
      </c>
      <c r="G80" s="2">
        <v>46266</v>
      </c>
      <c r="J80" t="s">
        <v>54</v>
      </c>
      <c r="K80" t="str">
        <f>PROPER(TRIM(J80))</f>
        <v>Leave</v>
      </c>
      <c r="L80" t="s">
        <v>113</v>
      </c>
      <c r="N80" t="str">
        <f t="shared" si="1"/>
        <v>Unique</v>
      </c>
    </row>
    <row r="81" spans="1:14" x14ac:dyDescent="0.35">
      <c r="A81" t="s">
        <v>137</v>
      </c>
      <c r="B81" t="s">
        <v>64</v>
      </c>
      <c r="C81" t="s">
        <v>65</v>
      </c>
      <c r="D81" t="str">
        <f>PROPER(TRIM(C81))</f>
        <v>Eka Wulandari</v>
      </c>
      <c r="E81" t="s">
        <v>62</v>
      </c>
      <c r="F81" t="str">
        <f>IF(TRIM(E81)="","",IF(UPPER(TRIM(E81))="IT","IT",IF(UPPER(TRIM(E81))="HR","HR",PROPER(TRIM(E81)))))</f>
        <v>Sales</v>
      </c>
      <c r="G81" s="2">
        <v>46295</v>
      </c>
      <c r="J81" t="s">
        <v>54</v>
      </c>
      <c r="K81" t="str">
        <f>PROPER(TRIM(J81))</f>
        <v>Leave</v>
      </c>
      <c r="N81" t="str">
        <f t="shared" si="1"/>
        <v>Unique</v>
      </c>
    </row>
    <row r="82" spans="1:14" x14ac:dyDescent="0.35">
      <c r="A82" t="s">
        <v>138</v>
      </c>
      <c r="B82" t="s">
        <v>15</v>
      </c>
      <c r="C82" t="s">
        <v>16</v>
      </c>
      <c r="D82" t="str">
        <f>PROPER(TRIM(C82))</f>
        <v>Citra Lestari</v>
      </c>
      <c r="E82" t="s">
        <v>17</v>
      </c>
      <c r="F82" t="str">
        <f>IF(TRIM(E82)="","",IF(UPPER(TRIM(E82))="IT","IT",IF(UPPER(TRIM(E82))="HR","HR",PROPER(TRIM(E82)))))</f>
        <v>HR</v>
      </c>
      <c r="G82" s="2">
        <v>46274</v>
      </c>
      <c r="H82" s="3">
        <v>46274.333333333343</v>
      </c>
      <c r="I82" s="3">
        <v>46274.690972222219</v>
      </c>
      <c r="J82" t="s">
        <v>13</v>
      </c>
      <c r="K82" t="str">
        <f>PROPER(TRIM(J82))</f>
        <v>Present</v>
      </c>
      <c r="N82" t="str">
        <f t="shared" si="1"/>
        <v>Unique</v>
      </c>
    </row>
    <row r="83" spans="1:14" x14ac:dyDescent="0.35">
      <c r="A83" t="s">
        <v>139</v>
      </c>
      <c r="B83" t="s">
        <v>64</v>
      </c>
      <c r="C83" t="s">
        <v>65</v>
      </c>
      <c r="D83" t="str">
        <f>PROPER(TRIM(C83))</f>
        <v>Eka Wulandari</v>
      </c>
      <c r="E83" t="s">
        <v>62</v>
      </c>
      <c r="F83" t="str">
        <f>IF(TRIM(E83)="","",IF(UPPER(TRIM(E83))="IT","IT",IF(UPPER(TRIM(E83))="HR","HR",PROPER(TRIM(E83)))))</f>
        <v>Sales</v>
      </c>
      <c r="G83" s="2">
        <v>46275</v>
      </c>
      <c r="J83" t="s">
        <v>28</v>
      </c>
      <c r="K83" t="str">
        <f>PROPER(TRIM(J83))</f>
        <v>Absent</v>
      </c>
      <c r="N83" t="str">
        <f t="shared" si="1"/>
        <v>Unique</v>
      </c>
    </row>
    <row r="84" spans="1:14" x14ac:dyDescent="0.35">
      <c r="A84" t="s">
        <v>140</v>
      </c>
      <c r="B84" t="s">
        <v>39</v>
      </c>
      <c r="C84" t="s">
        <v>40</v>
      </c>
      <c r="D84" t="str">
        <f>PROPER(TRIM(C84))</f>
        <v>Lukman Hakim</v>
      </c>
      <c r="E84" t="s">
        <v>21</v>
      </c>
      <c r="F84" t="str">
        <f>IF(TRIM(E84)="","",IF(UPPER(TRIM(E84))="IT","IT",IF(UPPER(TRIM(E84))="HR","HR",PROPER(TRIM(E84)))))</f>
        <v>Finance</v>
      </c>
      <c r="G84" s="2">
        <v>46276</v>
      </c>
      <c r="H84" s="3">
        <v>46276.336805555547</v>
      </c>
      <c r="I84" s="3">
        <v>46276.692361111112</v>
      </c>
      <c r="J84" t="s">
        <v>13</v>
      </c>
      <c r="K84" t="str">
        <f>PROPER(TRIM(J84))</f>
        <v>Present</v>
      </c>
      <c r="N84" t="str">
        <f t="shared" si="1"/>
        <v>Unique</v>
      </c>
    </row>
    <row r="85" spans="1:14" x14ac:dyDescent="0.35">
      <c r="A85" t="s">
        <v>141</v>
      </c>
      <c r="B85" t="s">
        <v>64</v>
      </c>
      <c r="C85" t="s">
        <v>65</v>
      </c>
      <c r="D85" t="str">
        <f>PROPER(TRIM(C85))</f>
        <v>Eka Wulandari</v>
      </c>
      <c r="E85" t="s">
        <v>62</v>
      </c>
      <c r="F85" t="str">
        <f>IF(TRIM(E85)="","",IF(UPPER(TRIM(E85))="IT","IT",IF(UPPER(TRIM(E85))="HR","HR",PROPER(TRIM(E85)))))</f>
        <v>Sales</v>
      </c>
      <c r="G85" s="2">
        <v>46294</v>
      </c>
      <c r="J85" t="s">
        <v>37</v>
      </c>
      <c r="K85" t="str">
        <f>PROPER(TRIM(J85))</f>
        <v>Sick</v>
      </c>
      <c r="N85" t="str">
        <f t="shared" si="1"/>
        <v>Unique</v>
      </c>
    </row>
    <row r="86" spans="1:14" x14ac:dyDescent="0.35">
      <c r="A86" t="s">
        <v>142</v>
      </c>
      <c r="B86" t="s">
        <v>46</v>
      </c>
      <c r="C86" t="s">
        <v>47</v>
      </c>
      <c r="D86" t="str">
        <f>PROPER(TRIM(C86))</f>
        <v>Bima Pratama</v>
      </c>
      <c r="E86" t="s">
        <v>12</v>
      </c>
      <c r="F86" t="str">
        <f>IF(TRIM(E86)="","",IF(UPPER(TRIM(E86))="IT","IT",IF(UPPER(TRIM(E86))="HR","HR",PROPER(TRIM(E86)))))</f>
        <v>Operations</v>
      </c>
      <c r="G86" s="2">
        <v>46286</v>
      </c>
      <c r="H86" s="3">
        <v>46286.340277777781</v>
      </c>
      <c r="I86" s="3">
        <v>46286.673611111109</v>
      </c>
      <c r="J86" t="s">
        <v>48</v>
      </c>
      <c r="K86" t="str">
        <f>PROPER(TRIM(J86))</f>
        <v>Late</v>
      </c>
      <c r="N86" t="str">
        <f t="shared" si="1"/>
        <v>Unique</v>
      </c>
    </row>
    <row r="87" spans="1:14" x14ac:dyDescent="0.35">
      <c r="A87" t="s">
        <v>143</v>
      </c>
      <c r="B87" t="s">
        <v>15</v>
      </c>
      <c r="C87" t="s">
        <v>16</v>
      </c>
      <c r="D87" t="str">
        <f>PROPER(TRIM(C87))</f>
        <v>Citra Lestari</v>
      </c>
      <c r="E87" t="s">
        <v>17</v>
      </c>
      <c r="F87" t="str">
        <f>IF(TRIM(E87)="","",IF(UPPER(TRIM(E87))="IT","IT",IF(UPPER(TRIM(E87))="HR","HR",PROPER(TRIM(E87)))))</f>
        <v>HR</v>
      </c>
      <c r="G87" s="2">
        <v>46286</v>
      </c>
      <c r="H87" s="3">
        <v>46286.334027777782</v>
      </c>
      <c r="I87" s="3">
        <v>46286.686805555553</v>
      </c>
      <c r="J87" t="s">
        <v>13</v>
      </c>
      <c r="K87" t="str">
        <f>PROPER(TRIM(J87))</f>
        <v>Present</v>
      </c>
      <c r="N87" t="str">
        <f t="shared" si="1"/>
        <v>Unique</v>
      </c>
    </row>
    <row r="88" spans="1:14" x14ac:dyDescent="0.35">
      <c r="A88" t="s">
        <v>144</v>
      </c>
      <c r="B88" t="s">
        <v>39</v>
      </c>
      <c r="C88" t="s">
        <v>40</v>
      </c>
      <c r="D88" t="str">
        <f>PROPER(TRIM(C88))</f>
        <v>Lukman Hakim</v>
      </c>
      <c r="E88" t="s">
        <v>21</v>
      </c>
      <c r="F88" t="str">
        <f>IF(TRIM(E88)="","",IF(UPPER(TRIM(E88))="IT","IT",IF(UPPER(TRIM(E88))="HR","HR",PROPER(TRIM(E88)))))</f>
        <v>Finance</v>
      </c>
      <c r="G88" s="2">
        <v>46279</v>
      </c>
      <c r="J88" t="s">
        <v>28</v>
      </c>
      <c r="K88" t="str">
        <f>PROPER(TRIM(J88))</f>
        <v>Absent</v>
      </c>
      <c r="N88" t="str">
        <f t="shared" si="1"/>
        <v>Unique</v>
      </c>
    </row>
    <row r="89" spans="1:14" x14ac:dyDescent="0.35">
      <c r="A89" t="s">
        <v>145</v>
      </c>
      <c r="C89" t="s">
        <v>47</v>
      </c>
      <c r="D89" t="str">
        <f>PROPER(TRIM(C89))</f>
        <v>Bima Pratama</v>
      </c>
      <c r="E89" t="s">
        <v>12</v>
      </c>
      <c r="F89" t="str">
        <f>IF(TRIM(E89)="","",IF(UPPER(TRIM(E89))="IT","IT",IF(UPPER(TRIM(E89))="HR","HR",PROPER(TRIM(E89)))))</f>
        <v>Operations</v>
      </c>
      <c r="G89" s="2">
        <v>46268</v>
      </c>
      <c r="J89" t="s">
        <v>54</v>
      </c>
      <c r="K89" t="str">
        <f>PROPER(TRIM(J89))</f>
        <v>Leave</v>
      </c>
      <c r="N89" t="str">
        <f t="shared" si="1"/>
        <v>Unique</v>
      </c>
    </row>
    <row r="90" spans="1:14" x14ac:dyDescent="0.35">
      <c r="A90" t="s">
        <v>146</v>
      </c>
      <c r="B90" t="s">
        <v>23</v>
      </c>
      <c r="C90" t="s">
        <v>24</v>
      </c>
      <c r="D90" t="str">
        <f>PROPER(TRIM(C90))</f>
        <v>Intan Permata</v>
      </c>
      <c r="E90" t="s">
        <v>62</v>
      </c>
      <c r="F90" t="str">
        <f>IF(TRIM(E90)="","",IF(UPPER(TRIM(E90))="IT","IT",IF(UPPER(TRIM(E90))="HR","HR",PROPER(TRIM(E90)))))</f>
        <v>Sales</v>
      </c>
      <c r="G90" s="2">
        <v>46267</v>
      </c>
      <c r="J90" t="s">
        <v>37</v>
      </c>
      <c r="K90" t="str">
        <f>PROPER(TRIM(J90))</f>
        <v>Sick</v>
      </c>
      <c r="N90" t="str">
        <f t="shared" si="1"/>
        <v>Unique</v>
      </c>
    </row>
    <row r="91" spans="1:14" x14ac:dyDescent="0.35">
      <c r="A91" t="s">
        <v>147</v>
      </c>
      <c r="B91" t="s">
        <v>50</v>
      </c>
      <c r="C91" t="s">
        <v>51</v>
      </c>
      <c r="D91" t="str">
        <f>PROPER(TRIM(C91))</f>
        <v>Joko Santoso</v>
      </c>
      <c r="E91" t="s">
        <v>17</v>
      </c>
      <c r="F91" t="str">
        <f>IF(TRIM(E91)="","",IF(UPPER(TRIM(E91))="IT","IT",IF(UPPER(TRIM(E91))="HR","HR",PROPER(TRIM(E91)))))</f>
        <v>HR</v>
      </c>
      <c r="G91" s="2">
        <v>46283</v>
      </c>
      <c r="H91" s="3">
        <v>46283.340277777781</v>
      </c>
      <c r="I91" s="3">
        <v>46283.679166666669</v>
      </c>
      <c r="J91" t="s">
        <v>13</v>
      </c>
      <c r="K91" t="str">
        <f>PROPER(TRIM(J91))</f>
        <v>Present</v>
      </c>
      <c r="N91" t="str">
        <f t="shared" si="1"/>
        <v>Unique</v>
      </c>
    </row>
    <row r="92" spans="1:14" x14ac:dyDescent="0.35">
      <c r="A92" t="s">
        <v>148</v>
      </c>
      <c r="B92" t="s">
        <v>64</v>
      </c>
      <c r="C92" t="s">
        <v>65</v>
      </c>
      <c r="D92" t="str">
        <f>PROPER(TRIM(C92))</f>
        <v>Eka Wulandari</v>
      </c>
      <c r="E92" t="s">
        <v>62</v>
      </c>
      <c r="F92" t="str">
        <f>IF(TRIM(E92)="","",IF(UPPER(TRIM(E92))="IT","IT",IF(UPPER(TRIM(E92))="HR","HR",PROPER(TRIM(E92)))))</f>
        <v>Sales</v>
      </c>
      <c r="G92" s="2">
        <v>46279</v>
      </c>
      <c r="J92" t="s">
        <v>37</v>
      </c>
      <c r="K92" t="str">
        <f>PROPER(TRIM(J92))</f>
        <v>Sick</v>
      </c>
      <c r="N92" t="str">
        <f t="shared" si="1"/>
        <v>Unique</v>
      </c>
    </row>
    <row r="93" spans="1:14" x14ac:dyDescent="0.35">
      <c r="A93" t="s">
        <v>149</v>
      </c>
      <c r="B93" t="s">
        <v>42</v>
      </c>
      <c r="C93" t="s">
        <v>43</v>
      </c>
      <c r="D93" t="str">
        <f>PROPER(TRIM(C93))</f>
        <v>Farhan Akbar</v>
      </c>
      <c r="E93" t="s">
        <v>12</v>
      </c>
      <c r="F93" t="str">
        <f>IF(TRIM(E93)="","",IF(UPPER(TRIM(E93))="IT","IT",IF(UPPER(TRIM(E93))="HR","HR",PROPER(TRIM(E93)))))</f>
        <v>Operations</v>
      </c>
      <c r="G93" s="2">
        <v>46272</v>
      </c>
      <c r="J93" t="s">
        <v>54</v>
      </c>
      <c r="K93" t="str">
        <f>PROPER(TRIM(J93))</f>
        <v>Leave</v>
      </c>
      <c r="N93" t="str">
        <f t="shared" si="1"/>
        <v>Unique</v>
      </c>
    </row>
    <row r="94" spans="1:14" x14ac:dyDescent="0.35">
      <c r="A94" t="s">
        <v>150</v>
      </c>
      <c r="B94" t="s">
        <v>10</v>
      </c>
      <c r="C94" t="s">
        <v>151</v>
      </c>
      <c r="D94" t="str">
        <f>PROPER(TRIM(C94))</f>
        <v>Kirana Dewi</v>
      </c>
      <c r="E94" t="s">
        <v>12</v>
      </c>
      <c r="F94" t="str">
        <f>IF(TRIM(E94)="","",IF(UPPER(TRIM(E94))="IT","IT",IF(UPPER(TRIM(E94))="HR","HR",PROPER(TRIM(E94)))))</f>
        <v>Operations</v>
      </c>
      <c r="G94" s="2">
        <v>46269</v>
      </c>
      <c r="H94" s="3">
        <v>46269.34375</v>
      </c>
      <c r="I94" s="3">
        <v>46269.695138888892</v>
      </c>
      <c r="J94" t="s">
        <v>13</v>
      </c>
      <c r="K94" t="str">
        <f>PROPER(TRIM(J94))</f>
        <v>Present</v>
      </c>
      <c r="N94" t="str">
        <f t="shared" si="1"/>
        <v>Unique</v>
      </c>
    </row>
    <row r="95" spans="1:14" x14ac:dyDescent="0.35">
      <c r="A95" t="s">
        <v>152</v>
      </c>
      <c r="B95" t="s">
        <v>39</v>
      </c>
      <c r="C95" t="s">
        <v>40</v>
      </c>
      <c r="D95" t="str">
        <f>PROPER(TRIM(C95))</f>
        <v>Lukman Hakim</v>
      </c>
      <c r="E95" t="s">
        <v>21</v>
      </c>
      <c r="F95" t="str">
        <f>IF(TRIM(E95)="","",IF(UPPER(TRIM(E95))="IT","IT",IF(UPPER(TRIM(E95))="HR","HR",PROPER(TRIM(E95)))))</f>
        <v>Finance</v>
      </c>
      <c r="G95" s="2">
        <v>46272</v>
      </c>
      <c r="H95" s="3">
        <v>46272.334027777782</v>
      </c>
      <c r="I95" s="3">
        <v>46272.675000000003</v>
      </c>
      <c r="J95" t="s">
        <v>13</v>
      </c>
      <c r="K95" t="str">
        <f>PROPER(TRIM(J95))</f>
        <v>Present</v>
      </c>
      <c r="N95" t="str">
        <f t="shared" si="1"/>
        <v>Unique</v>
      </c>
    </row>
    <row r="96" spans="1:14" x14ac:dyDescent="0.35">
      <c r="A96" t="s">
        <v>153</v>
      </c>
      <c r="B96" t="s">
        <v>35</v>
      </c>
      <c r="C96" t="s">
        <v>36</v>
      </c>
      <c r="D96" t="str">
        <f>PROPER(TRIM(C96))</f>
        <v>Alya Putri</v>
      </c>
      <c r="E96" t="s">
        <v>21</v>
      </c>
      <c r="F96" t="str">
        <f>IF(TRIM(E96)="","",IF(UPPER(TRIM(E96))="IT","IT",IF(UPPER(TRIM(E96))="HR","HR",PROPER(TRIM(E96)))))</f>
        <v>Finance</v>
      </c>
      <c r="G96" s="2">
        <v>46272</v>
      </c>
      <c r="J96" t="s">
        <v>54</v>
      </c>
      <c r="K96" t="str">
        <f>PROPER(TRIM(J96))</f>
        <v>Leave</v>
      </c>
      <c r="N96" t="str">
        <f t="shared" si="1"/>
        <v>Unique</v>
      </c>
    </row>
    <row r="97" spans="1:14" x14ac:dyDescent="0.35">
      <c r="A97" t="s">
        <v>154</v>
      </c>
      <c r="B97" t="s">
        <v>19</v>
      </c>
      <c r="C97" t="s">
        <v>20</v>
      </c>
      <c r="D97" t="str">
        <f>PROPER(TRIM(C97))</f>
        <v>Gita Maharani</v>
      </c>
      <c r="E97" t="s">
        <v>21</v>
      </c>
      <c r="F97" t="str">
        <f>IF(TRIM(E97)="","",IF(UPPER(TRIM(E97))="IT","IT",IF(UPPER(TRIM(E97))="HR","HR",PROPER(TRIM(E97)))))</f>
        <v>Finance</v>
      </c>
      <c r="G97" s="2">
        <v>46293</v>
      </c>
      <c r="J97" t="s">
        <v>54</v>
      </c>
      <c r="K97" t="str">
        <f>PROPER(TRIM(J97))</f>
        <v>Leave</v>
      </c>
      <c r="L97" t="s">
        <v>66</v>
      </c>
      <c r="N97" t="str">
        <f t="shared" si="1"/>
        <v>Unique</v>
      </c>
    </row>
    <row r="98" spans="1:14" x14ac:dyDescent="0.35">
      <c r="A98" t="s">
        <v>155</v>
      </c>
      <c r="B98" t="s">
        <v>31</v>
      </c>
      <c r="C98" t="s">
        <v>32</v>
      </c>
      <c r="D98" t="str">
        <f>PROPER(TRIM(C98))</f>
        <v>Dimas Saputra</v>
      </c>
      <c r="E98" t="s">
        <v>33</v>
      </c>
      <c r="F98" t="str">
        <f>IF(TRIM(E98)="","",IF(UPPER(TRIM(E98))="IT","IT",IF(UPPER(TRIM(E98))="HR","HR",PROPER(TRIM(E98)))))</f>
        <v>IT</v>
      </c>
      <c r="G98" s="2">
        <v>46274</v>
      </c>
      <c r="H98" s="3">
        <v>46274.333333333343</v>
      </c>
      <c r="I98" s="3">
        <v>46274.683333333327</v>
      </c>
      <c r="J98" t="s">
        <v>13</v>
      </c>
      <c r="K98" t="str">
        <f>PROPER(TRIM(J98))</f>
        <v>Present</v>
      </c>
      <c r="N98" t="str">
        <f t="shared" si="1"/>
        <v>Unique</v>
      </c>
    </row>
    <row r="99" spans="1:14" x14ac:dyDescent="0.35">
      <c r="A99" t="s">
        <v>156</v>
      </c>
      <c r="B99" t="s">
        <v>72</v>
      </c>
      <c r="C99" t="s">
        <v>73</v>
      </c>
      <c r="D99" t="str">
        <f>PROPER(TRIM(C99))</f>
        <v>Hadi Wijaya</v>
      </c>
      <c r="E99" t="s">
        <v>33</v>
      </c>
      <c r="F99" t="str">
        <f>IF(TRIM(E99)="","",IF(UPPER(TRIM(E99))="IT","IT",IF(UPPER(TRIM(E99))="HR","HR",PROPER(TRIM(E99)))))</f>
        <v>IT</v>
      </c>
      <c r="G99" t="s">
        <v>157</v>
      </c>
      <c r="H99" s="3">
        <v>46273.340277777781</v>
      </c>
      <c r="I99" s="3">
        <v>46273.688888888893</v>
      </c>
      <c r="J99" t="s">
        <v>13</v>
      </c>
      <c r="K99" t="str">
        <f>PROPER(TRIM(J99))</f>
        <v>Present</v>
      </c>
      <c r="N99" t="str">
        <f t="shared" si="1"/>
        <v>Unique</v>
      </c>
    </row>
    <row r="100" spans="1:14" x14ac:dyDescent="0.35">
      <c r="A100" t="s">
        <v>158</v>
      </c>
      <c r="B100" t="s">
        <v>31</v>
      </c>
      <c r="C100" t="s">
        <v>32</v>
      </c>
      <c r="D100" t="str">
        <f>PROPER(TRIM(C100))</f>
        <v>Dimas Saputra</v>
      </c>
      <c r="E100" t="s">
        <v>33</v>
      </c>
      <c r="F100" t="str">
        <f>IF(TRIM(E100)="","",IF(UPPER(TRIM(E100))="IT","IT",IF(UPPER(TRIM(E100))="HR","HR",PROPER(TRIM(E100)))))</f>
        <v>IT</v>
      </c>
      <c r="G100" s="2">
        <v>46273</v>
      </c>
      <c r="H100" s="3">
        <v>46273.334027777782</v>
      </c>
      <c r="I100" s="3">
        <v>46273.68472222222</v>
      </c>
      <c r="J100" t="s">
        <v>13</v>
      </c>
      <c r="K100" t="str">
        <f>PROPER(TRIM(J100))</f>
        <v>Present</v>
      </c>
      <c r="N100" t="str">
        <f t="shared" si="1"/>
        <v>Unique</v>
      </c>
    </row>
    <row r="101" spans="1:14" x14ac:dyDescent="0.35">
      <c r="A101" t="s">
        <v>159</v>
      </c>
      <c r="B101" t="s">
        <v>64</v>
      </c>
      <c r="C101" t="s">
        <v>65</v>
      </c>
      <c r="D101" t="str">
        <f>PROPER(TRIM(C101))</f>
        <v>Eka Wulandari</v>
      </c>
      <c r="E101" t="s">
        <v>62</v>
      </c>
      <c r="F101" t="str">
        <f>IF(TRIM(E101)="","",IF(UPPER(TRIM(E101))="IT","IT",IF(UPPER(TRIM(E101))="HR","HR",PROPER(TRIM(E101)))))</f>
        <v>Sales</v>
      </c>
      <c r="G101" s="2">
        <v>46293</v>
      </c>
      <c r="H101" s="3">
        <v>46293.336805555547</v>
      </c>
      <c r="I101" s="3">
        <v>46293.685416666667</v>
      </c>
      <c r="J101" t="s">
        <v>13</v>
      </c>
      <c r="K101" t="str">
        <f>PROPER(TRIM(J101))</f>
        <v>Present</v>
      </c>
      <c r="N101" t="str">
        <f t="shared" si="1"/>
        <v>Unique</v>
      </c>
    </row>
    <row r="102" spans="1:14" x14ac:dyDescent="0.35">
      <c r="A102" t="s">
        <v>160</v>
      </c>
      <c r="B102" t="s">
        <v>23</v>
      </c>
      <c r="C102" t="s">
        <v>24</v>
      </c>
      <c r="D102" t="str">
        <f>PROPER(TRIM(C102))</f>
        <v>Intan Permata</v>
      </c>
      <c r="E102" t="s">
        <v>62</v>
      </c>
      <c r="F102" t="str">
        <f>IF(TRIM(E102)="","",IF(UPPER(TRIM(E102))="IT","IT",IF(UPPER(TRIM(E102))="HR","HR",PROPER(TRIM(E102)))))</f>
        <v>Sales</v>
      </c>
      <c r="G102" s="2">
        <v>46279</v>
      </c>
      <c r="J102" t="s">
        <v>54</v>
      </c>
      <c r="K102" t="str">
        <f>PROPER(TRIM(J102))</f>
        <v>Leave</v>
      </c>
      <c r="L102" t="s">
        <v>113</v>
      </c>
      <c r="N102" t="str">
        <f t="shared" si="1"/>
        <v>Unique</v>
      </c>
    </row>
    <row r="103" spans="1:14" x14ac:dyDescent="0.35">
      <c r="A103" t="s">
        <v>161</v>
      </c>
      <c r="B103" t="s">
        <v>42</v>
      </c>
      <c r="C103" t="s">
        <v>43</v>
      </c>
      <c r="D103" t="str">
        <f>PROPER(TRIM(C103))</f>
        <v>Farhan Akbar</v>
      </c>
      <c r="E103" t="s">
        <v>12</v>
      </c>
      <c r="F103" t="str">
        <f>IF(TRIM(E103)="","",IF(UPPER(TRIM(E103))="IT","IT",IF(UPPER(TRIM(E103))="HR","HR",PROPER(TRIM(E103)))))</f>
        <v>Operations</v>
      </c>
      <c r="G103" s="2">
        <v>46266</v>
      </c>
      <c r="H103" s="3">
        <v>46266.336805555547</v>
      </c>
      <c r="I103" s="3">
        <v>46266.677777777782</v>
      </c>
      <c r="J103" t="s">
        <v>13</v>
      </c>
      <c r="K103" t="str">
        <f>PROPER(TRIM(J103))</f>
        <v>Present</v>
      </c>
      <c r="N103" t="str">
        <f t="shared" si="1"/>
        <v>Unique</v>
      </c>
    </row>
    <row r="104" spans="1:14" x14ac:dyDescent="0.35">
      <c r="A104" t="s">
        <v>162</v>
      </c>
      <c r="B104" t="s">
        <v>64</v>
      </c>
      <c r="C104" t="s">
        <v>65</v>
      </c>
      <c r="D104" t="str">
        <f>PROPER(TRIM(C104))</f>
        <v>Eka Wulandari</v>
      </c>
      <c r="E104" t="s">
        <v>62</v>
      </c>
      <c r="F104" t="str">
        <f>IF(TRIM(E104)="","",IF(UPPER(TRIM(E104))="IT","IT",IF(UPPER(TRIM(E104))="HR","HR",PROPER(TRIM(E104)))))</f>
        <v>Sales</v>
      </c>
      <c r="G104" s="2">
        <v>46267</v>
      </c>
      <c r="H104" s="3">
        <v>46267.34375</v>
      </c>
      <c r="I104" s="3">
        <v>46267.695833333331</v>
      </c>
      <c r="J104" t="s">
        <v>13</v>
      </c>
      <c r="K104" t="str">
        <f>PROPER(TRIM(J104))</f>
        <v>Present</v>
      </c>
      <c r="N104" t="str">
        <f t="shared" si="1"/>
        <v>Unique</v>
      </c>
    </row>
    <row r="105" spans="1:14" x14ac:dyDescent="0.35">
      <c r="A105" t="s">
        <v>163</v>
      </c>
      <c r="B105" t="s">
        <v>39</v>
      </c>
      <c r="C105" t="s">
        <v>40</v>
      </c>
      <c r="D105" t="str">
        <f>PROPER(TRIM(C105))</f>
        <v>Lukman Hakim</v>
      </c>
      <c r="E105" t="s">
        <v>21</v>
      </c>
      <c r="F105" t="str">
        <f>IF(TRIM(E105)="","",IF(UPPER(TRIM(E105))="IT","IT",IF(UPPER(TRIM(E105))="HR","HR",PROPER(TRIM(E105)))))</f>
        <v>Finance</v>
      </c>
      <c r="G105" s="2">
        <v>46293</v>
      </c>
      <c r="H105" s="3">
        <v>46293.340277777781</v>
      </c>
      <c r="I105" s="3">
        <v>46293.7</v>
      </c>
      <c r="J105" t="s">
        <v>13</v>
      </c>
      <c r="K105" t="str">
        <f>PROPER(TRIM(J105))</f>
        <v>Present</v>
      </c>
      <c r="N105" t="str">
        <f t="shared" si="1"/>
        <v>Unique</v>
      </c>
    </row>
    <row r="106" spans="1:14" x14ac:dyDescent="0.35">
      <c r="A106" t="s">
        <v>164</v>
      </c>
      <c r="B106" t="s">
        <v>46</v>
      </c>
      <c r="C106" t="s">
        <v>47</v>
      </c>
      <c r="D106" t="str">
        <f>PROPER(TRIM(C106))</f>
        <v>Bima Pratama</v>
      </c>
      <c r="E106" t="s">
        <v>12</v>
      </c>
      <c r="F106" t="str">
        <f>IF(TRIM(E106)="","",IF(UPPER(TRIM(E106))="IT","IT",IF(UPPER(TRIM(E106))="HR","HR",PROPER(TRIM(E106)))))</f>
        <v>Operations</v>
      </c>
      <c r="G106" s="2">
        <v>46279</v>
      </c>
      <c r="J106" t="s">
        <v>28</v>
      </c>
      <c r="K106" t="str">
        <f>PROPER(TRIM(J106))</f>
        <v>Absent</v>
      </c>
      <c r="N106" t="str">
        <f t="shared" si="1"/>
        <v>Unique</v>
      </c>
    </row>
    <row r="107" spans="1:14" x14ac:dyDescent="0.35">
      <c r="A107" t="s">
        <v>165</v>
      </c>
      <c r="B107" t="s">
        <v>64</v>
      </c>
      <c r="C107" t="s">
        <v>65</v>
      </c>
      <c r="D107" t="str">
        <f>PROPER(TRIM(C107))</f>
        <v>Eka Wulandari</v>
      </c>
      <c r="E107" t="s">
        <v>62</v>
      </c>
      <c r="F107" t="str">
        <f>IF(TRIM(E107)="","",IF(UPPER(TRIM(E107))="IT","IT",IF(UPPER(TRIM(E107))="HR","HR",PROPER(TRIM(E107)))))</f>
        <v>Sales</v>
      </c>
      <c r="G107" s="2">
        <v>46267</v>
      </c>
      <c r="J107" t="s">
        <v>54</v>
      </c>
      <c r="K107" t="str">
        <f>PROPER(TRIM(J107))</f>
        <v>Leave</v>
      </c>
      <c r="L107" t="s">
        <v>29</v>
      </c>
      <c r="N107" t="str">
        <f t="shared" si="1"/>
        <v>Unique</v>
      </c>
    </row>
    <row r="108" spans="1:14" x14ac:dyDescent="0.35">
      <c r="A108" t="s">
        <v>166</v>
      </c>
      <c r="B108" t="s">
        <v>35</v>
      </c>
      <c r="C108" t="s">
        <v>36</v>
      </c>
      <c r="D108" t="str">
        <f>PROPER(TRIM(C108))</f>
        <v>Alya Putri</v>
      </c>
      <c r="E108" t="s">
        <v>21</v>
      </c>
      <c r="F108" t="str">
        <f>IF(TRIM(E108)="","",IF(UPPER(TRIM(E108))="IT","IT",IF(UPPER(TRIM(E108))="HR","HR",PROPER(TRIM(E108)))))</f>
        <v>Finance</v>
      </c>
      <c r="G108" t="s">
        <v>167</v>
      </c>
      <c r="J108" t="s">
        <v>37</v>
      </c>
      <c r="K108" t="str">
        <f>PROPER(TRIM(J108))</f>
        <v>Sick</v>
      </c>
      <c r="L108" t="s">
        <v>113</v>
      </c>
      <c r="N108" t="str">
        <f t="shared" si="1"/>
        <v>Unique</v>
      </c>
    </row>
    <row r="109" spans="1:14" x14ac:dyDescent="0.35">
      <c r="A109" t="s">
        <v>168</v>
      </c>
      <c r="B109" t="s">
        <v>10</v>
      </c>
      <c r="C109" t="s">
        <v>11</v>
      </c>
      <c r="D109" t="str">
        <f>PROPER(TRIM(C109))</f>
        <v>Kirana Dewi</v>
      </c>
      <c r="E109" t="s">
        <v>12</v>
      </c>
      <c r="F109" t="str">
        <f>IF(TRIM(E109)="","",IF(UPPER(TRIM(E109))="IT","IT",IF(UPPER(TRIM(E109))="HR","HR",PROPER(TRIM(E109)))))</f>
        <v>Operations</v>
      </c>
      <c r="G109" s="2">
        <v>46289</v>
      </c>
      <c r="J109" t="s">
        <v>54</v>
      </c>
      <c r="K109" t="str">
        <f>PROPER(TRIM(J109))</f>
        <v>Leave</v>
      </c>
      <c r="L109" t="s">
        <v>66</v>
      </c>
      <c r="N109" t="str">
        <f t="shared" si="1"/>
        <v>Unique</v>
      </c>
    </row>
    <row r="110" spans="1:14" x14ac:dyDescent="0.35">
      <c r="A110" t="s">
        <v>169</v>
      </c>
      <c r="B110" t="s">
        <v>10</v>
      </c>
      <c r="C110" t="s">
        <v>11</v>
      </c>
      <c r="D110" t="str">
        <f>PROPER(TRIM(C110))</f>
        <v>Kirana Dewi</v>
      </c>
      <c r="E110" t="s">
        <v>12</v>
      </c>
      <c r="F110" t="str">
        <f>IF(TRIM(E110)="","",IF(UPPER(TRIM(E110))="IT","IT",IF(UPPER(TRIM(E110))="HR","HR",PROPER(TRIM(E110)))))</f>
        <v>Operations</v>
      </c>
      <c r="G110" s="2">
        <v>46272</v>
      </c>
      <c r="H110" s="3">
        <v>46272.340277777781</v>
      </c>
      <c r="I110" s="3">
        <v>46272.676388888889</v>
      </c>
      <c r="J110" t="s">
        <v>13</v>
      </c>
      <c r="K110" t="str">
        <f>PROPER(TRIM(J110))</f>
        <v>Present</v>
      </c>
      <c r="N110" t="str">
        <f t="shared" si="1"/>
        <v>Unique</v>
      </c>
    </row>
    <row r="111" spans="1:14" x14ac:dyDescent="0.35">
      <c r="A111" t="s">
        <v>170</v>
      </c>
      <c r="B111" t="s">
        <v>42</v>
      </c>
      <c r="C111" t="s">
        <v>43</v>
      </c>
      <c r="D111" t="str">
        <f>PROPER(TRIM(C111))</f>
        <v>Farhan Akbar</v>
      </c>
      <c r="E111" t="s">
        <v>12</v>
      </c>
      <c r="F111" t="str">
        <f>IF(TRIM(E111)="","",IF(UPPER(TRIM(E111))="IT","IT",IF(UPPER(TRIM(E111))="HR","HR",PROPER(TRIM(E111)))))</f>
        <v>Operations</v>
      </c>
      <c r="G111" s="2">
        <v>46286</v>
      </c>
      <c r="H111" s="3">
        <v>46286.333333333343</v>
      </c>
      <c r="I111" s="3">
        <v>46286.679861111108</v>
      </c>
      <c r="J111" t="s">
        <v>13</v>
      </c>
      <c r="K111" t="str">
        <f>PROPER(TRIM(J111))</f>
        <v>Present</v>
      </c>
      <c r="N111" t="str">
        <f t="shared" si="1"/>
        <v>Unique</v>
      </c>
    </row>
    <row r="112" spans="1:14" x14ac:dyDescent="0.35">
      <c r="A112" t="s">
        <v>171</v>
      </c>
      <c r="B112" t="s">
        <v>64</v>
      </c>
      <c r="C112" t="s">
        <v>65</v>
      </c>
      <c r="D112" t="str">
        <f>PROPER(TRIM(C112))</f>
        <v>Eka Wulandari</v>
      </c>
      <c r="E112" t="s">
        <v>62</v>
      </c>
      <c r="F112" t="str">
        <f>IF(TRIM(E112)="","",IF(UPPER(TRIM(E112))="IT","IT",IF(UPPER(TRIM(E112))="HR","HR",PROPER(TRIM(E112)))))</f>
        <v>Sales</v>
      </c>
      <c r="G112" s="2">
        <v>46287</v>
      </c>
      <c r="H112" s="3">
        <v>46287.361111111109</v>
      </c>
      <c r="I112" s="3">
        <v>46287.709722222222</v>
      </c>
      <c r="J112" t="s">
        <v>48</v>
      </c>
      <c r="K112" t="str">
        <f>PROPER(TRIM(J112))</f>
        <v>Late</v>
      </c>
      <c r="N112" t="str">
        <f t="shared" si="1"/>
        <v>Unique</v>
      </c>
    </row>
    <row r="113" spans="1:14" x14ac:dyDescent="0.35">
      <c r="A113" t="s">
        <v>172</v>
      </c>
      <c r="B113" t="s">
        <v>23</v>
      </c>
      <c r="C113" t="s">
        <v>24</v>
      </c>
      <c r="D113" t="str">
        <f>PROPER(TRIM(C113))</f>
        <v>Intan Permata</v>
      </c>
      <c r="E113" t="s">
        <v>62</v>
      </c>
      <c r="F113" t="str">
        <f>IF(TRIM(E113)="","",IF(UPPER(TRIM(E113))="IT","IT",IF(UPPER(TRIM(E113))="HR","HR",PROPER(TRIM(E113)))))</f>
        <v>Sales</v>
      </c>
      <c r="G113" s="2">
        <v>46272</v>
      </c>
      <c r="H113" s="3">
        <v>46272.340277777781</v>
      </c>
      <c r="I113" s="3">
        <v>46272.702777777777</v>
      </c>
      <c r="J113" t="s">
        <v>13</v>
      </c>
      <c r="K113" t="str">
        <f>PROPER(TRIM(J113))</f>
        <v>Present</v>
      </c>
      <c r="N113" t="str">
        <f t="shared" si="1"/>
        <v>Unique</v>
      </c>
    </row>
    <row r="114" spans="1:14" x14ac:dyDescent="0.35">
      <c r="A114" t="s">
        <v>173</v>
      </c>
      <c r="C114" t="s">
        <v>11</v>
      </c>
      <c r="D114" t="str">
        <f>PROPER(TRIM(C114))</f>
        <v>Kirana Dewi</v>
      </c>
      <c r="E114" t="s">
        <v>12</v>
      </c>
      <c r="F114" t="str">
        <f>IF(TRIM(E114)="","",IF(UPPER(TRIM(E114))="IT","IT",IF(UPPER(TRIM(E114))="HR","HR",PROPER(TRIM(E114)))))</f>
        <v>Operations</v>
      </c>
      <c r="G114" s="2">
        <v>46289</v>
      </c>
      <c r="H114" s="3">
        <v>46289.34375</v>
      </c>
      <c r="I114" s="3">
        <v>46289.70208333333</v>
      </c>
      <c r="J114" t="s">
        <v>13</v>
      </c>
      <c r="K114" t="str">
        <f>PROPER(TRIM(J114))</f>
        <v>Present</v>
      </c>
      <c r="N114" t="str">
        <f t="shared" si="1"/>
        <v>Unique</v>
      </c>
    </row>
    <row r="115" spans="1:14" x14ac:dyDescent="0.35">
      <c r="A115" t="s">
        <v>174</v>
      </c>
      <c r="B115" t="s">
        <v>19</v>
      </c>
      <c r="C115" t="s">
        <v>20</v>
      </c>
      <c r="D115" t="str">
        <f>PROPER(TRIM(C115))</f>
        <v>Gita Maharani</v>
      </c>
      <c r="E115" t="s">
        <v>21</v>
      </c>
      <c r="F115" t="str">
        <f>IF(TRIM(E115)="","",IF(UPPER(TRIM(E115))="IT","IT",IF(UPPER(TRIM(E115))="HR","HR",PROPER(TRIM(E115)))))</f>
        <v>Finance</v>
      </c>
      <c r="G115" t="s">
        <v>175</v>
      </c>
      <c r="J115" t="s">
        <v>37</v>
      </c>
      <c r="K115" t="str">
        <f>PROPER(TRIM(J115))</f>
        <v>Sick</v>
      </c>
      <c r="N115" t="str">
        <f t="shared" si="1"/>
        <v>Unique</v>
      </c>
    </row>
    <row r="116" spans="1:14" x14ac:dyDescent="0.35">
      <c r="A116" t="s">
        <v>176</v>
      </c>
      <c r="B116" t="s">
        <v>64</v>
      </c>
      <c r="C116" t="s">
        <v>65</v>
      </c>
      <c r="D116" t="str">
        <f>PROPER(TRIM(C116))</f>
        <v>Eka Wulandari</v>
      </c>
      <c r="E116" t="s">
        <v>62</v>
      </c>
      <c r="F116" t="str">
        <f>IF(TRIM(E116)="","",IF(UPPER(TRIM(E116))="IT","IT",IF(UPPER(TRIM(E116))="HR","HR",PROPER(TRIM(E116)))))</f>
        <v>Sales</v>
      </c>
      <c r="G116" s="2">
        <v>46275</v>
      </c>
      <c r="H116" s="3">
        <v>46275.340277777781</v>
      </c>
      <c r="I116" s="3">
        <v>46275.699305555558</v>
      </c>
      <c r="J116" t="s">
        <v>13</v>
      </c>
      <c r="K116" t="str">
        <f>PROPER(TRIM(J116))</f>
        <v>Present</v>
      </c>
      <c r="N116" t="str">
        <f t="shared" si="1"/>
        <v>Unique</v>
      </c>
    </row>
    <row r="117" spans="1:14" x14ac:dyDescent="0.35">
      <c r="A117" t="s">
        <v>177</v>
      </c>
      <c r="B117" t="s">
        <v>10</v>
      </c>
      <c r="C117" t="s">
        <v>11</v>
      </c>
      <c r="D117" t="str">
        <f>PROPER(TRIM(C117))</f>
        <v>Kirana Dewi</v>
      </c>
      <c r="E117" t="s">
        <v>12</v>
      </c>
      <c r="F117" t="str">
        <f>IF(TRIM(E117)="","",IF(UPPER(TRIM(E117))="IT","IT",IF(UPPER(TRIM(E117))="HR","HR",PROPER(TRIM(E117)))))</f>
        <v>Operations</v>
      </c>
      <c r="G117" t="s">
        <v>178</v>
      </c>
      <c r="H117" s="3">
        <v>46276.361111111109</v>
      </c>
      <c r="I117" s="3">
        <v>46276.709027777782</v>
      </c>
      <c r="J117" t="s">
        <v>48</v>
      </c>
      <c r="K117" t="str">
        <f>PROPER(TRIM(J117))</f>
        <v>Late</v>
      </c>
      <c r="N117" t="str">
        <f t="shared" si="1"/>
        <v>Unique</v>
      </c>
    </row>
    <row r="118" spans="1:14" x14ac:dyDescent="0.35">
      <c r="A118" t="s">
        <v>179</v>
      </c>
      <c r="B118" t="s">
        <v>23</v>
      </c>
      <c r="C118" t="s">
        <v>24</v>
      </c>
      <c r="D118" t="str">
        <f>PROPER(TRIM(C118))</f>
        <v>Intan Permata</v>
      </c>
      <c r="E118" t="s">
        <v>62</v>
      </c>
      <c r="F118" t="str">
        <f>IF(TRIM(E118)="","",IF(UPPER(TRIM(E118))="IT","IT",IF(UPPER(TRIM(E118))="HR","HR",PROPER(TRIM(E118)))))</f>
        <v>Sales</v>
      </c>
      <c r="G118" s="2">
        <v>46281</v>
      </c>
      <c r="J118" t="s">
        <v>37</v>
      </c>
      <c r="K118" t="str">
        <f>PROPER(TRIM(J118))</f>
        <v>Sick</v>
      </c>
      <c r="L118" t="s">
        <v>66</v>
      </c>
      <c r="N118" t="str">
        <f t="shared" si="1"/>
        <v>Check Duplicate</v>
      </c>
    </row>
    <row r="119" spans="1:14" x14ac:dyDescent="0.35">
      <c r="A119" t="s">
        <v>180</v>
      </c>
      <c r="B119" t="s">
        <v>15</v>
      </c>
      <c r="C119" t="s">
        <v>16</v>
      </c>
      <c r="D119" t="str">
        <f>PROPER(TRIM(C119))</f>
        <v>Citra Lestari</v>
      </c>
      <c r="E119" t="s">
        <v>17</v>
      </c>
      <c r="F119" t="str">
        <f>IF(TRIM(E119)="","",IF(UPPER(TRIM(E119))="IT","IT",IF(UPPER(TRIM(E119))="HR","HR",PROPER(TRIM(E119)))))</f>
        <v>HR</v>
      </c>
      <c r="G119" s="2">
        <v>46287</v>
      </c>
      <c r="H119" s="3">
        <v>46287.336805555547</v>
      </c>
      <c r="I119" s="3">
        <v>46287.692361111112</v>
      </c>
      <c r="J119" t="s">
        <v>13</v>
      </c>
      <c r="K119" t="str">
        <f>PROPER(TRIM(J119))</f>
        <v>Present</v>
      </c>
      <c r="N119" t="str">
        <f t="shared" si="1"/>
        <v>Unique</v>
      </c>
    </row>
    <row r="120" spans="1:14" x14ac:dyDescent="0.35">
      <c r="A120" t="s">
        <v>181</v>
      </c>
      <c r="B120" t="s">
        <v>10</v>
      </c>
      <c r="C120" t="s">
        <v>11</v>
      </c>
      <c r="D120" t="str">
        <f>PROPER(TRIM(C120))</f>
        <v>Kirana Dewi</v>
      </c>
      <c r="E120" t="s">
        <v>12</v>
      </c>
      <c r="F120" t="str">
        <f>IF(TRIM(E120)="","",IF(UPPER(TRIM(E120))="IT","IT",IF(UPPER(TRIM(E120))="HR","HR",PROPER(TRIM(E120)))))</f>
        <v>Operations</v>
      </c>
      <c r="G120" s="2">
        <v>46286</v>
      </c>
      <c r="H120" s="3">
        <v>46286.333333333343</v>
      </c>
      <c r="I120" s="3">
        <v>46286.677083333343</v>
      </c>
      <c r="J120" t="s">
        <v>13</v>
      </c>
      <c r="K120" t="str">
        <f>PROPER(TRIM(J120))</f>
        <v>Present</v>
      </c>
      <c r="N120" t="str">
        <f t="shared" si="1"/>
        <v>Unique</v>
      </c>
    </row>
    <row r="121" spans="1:14" x14ac:dyDescent="0.35">
      <c r="A121" t="s">
        <v>182</v>
      </c>
      <c r="B121" t="s">
        <v>64</v>
      </c>
      <c r="C121" t="s">
        <v>65</v>
      </c>
      <c r="D121" t="str">
        <f>PROPER(TRIM(C121))</f>
        <v>Eka Wulandari</v>
      </c>
      <c r="E121" t="s">
        <v>62</v>
      </c>
      <c r="F121" t="str">
        <f>IF(TRIM(E121)="","",IF(UPPER(TRIM(E121))="IT","IT",IF(UPPER(TRIM(E121))="HR","HR",PROPER(TRIM(E121)))))</f>
        <v>Sales</v>
      </c>
      <c r="G121" s="2">
        <v>46273</v>
      </c>
      <c r="J121" t="s">
        <v>37</v>
      </c>
      <c r="K121" t="str">
        <f>PROPER(TRIM(J121))</f>
        <v>Sick</v>
      </c>
      <c r="N121" t="str">
        <f t="shared" si="1"/>
        <v>Unique</v>
      </c>
    </row>
    <row r="122" spans="1:14" x14ac:dyDescent="0.35">
      <c r="A122" t="s">
        <v>183</v>
      </c>
      <c r="C122" t="s">
        <v>16</v>
      </c>
      <c r="D122" t="str">
        <f>PROPER(TRIM(C122))</f>
        <v>Citra Lestari</v>
      </c>
      <c r="E122" t="s">
        <v>17</v>
      </c>
      <c r="F122" t="str">
        <f>IF(TRIM(E122)="","",IF(UPPER(TRIM(E122))="IT","IT",IF(UPPER(TRIM(E122))="HR","HR",PROPER(TRIM(E122)))))</f>
        <v>HR</v>
      </c>
      <c r="G122" s="2">
        <v>46266</v>
      </c>
      <c r="H122" s="3">
        <v>46266.334027777782</v>
      </c>
      <c r="I122" s="3">
        <v>46266.688194444447</v>
      </c>
      <c r="J122" t="s">
        <v>13</v>
      </c>
      <c r="K122" t="str">
        <f>PROPER(TRIM(J122))</f>
        <v>Present</v>
      </c>
      <c r="N122" t="str">
        <f t="shared" si="1"/>
        <v>Unique</v>
      </c>
    </row>
    <row r="123" spans="1:14" x14ac:dyDescent="0.35">
      <c r="A123" t="s">
        <v>184</v>
      </c>
      <c r="B123" t="s">
        <v>46</v>
      </c>
      <c r="C123" t="s">
        <v>47</v>
      </c>
      <c r="D123" t="str">
        <f>PROPER(TRIM(C123))</f>
        <v>Bima Pratama</v>
      </c>
      <c r="E123" t="s">
        <v>12</v>
      </c>
      <c r="F123" t="str">
        <f>IF(TRIM(E123)="","",IF(UPPER(TRIM(E123))="IT","IT",IF(UPPER(TRIM(E123))="HR","HR",PROPER(TRIM(E123)))))</f>
        <v>Operations</v>
      </c>
      <c r="G123" s="2">
        <v>46280</v>
      </c>
      <c r="H123" s="3">
        <v>46280.385416666657</v>
      </c>
      <c r="I123" s="3">
        <v>46280.734027777777</v>
      </c>
      <c r="J123" t="s">
        <v>48</v>
      </c>
      <c r="K123" t="str">
        <f>PROPER(TRIM(J123))</f>
        <v>Late</v>
      </c>
      <c r="N123" t="str">
        <f t="shared" si="1"/>
        <v>Unique</v>
      </c>
    </row>
    <row r="124" spans="1:14" x14ac:dyDescent="0.35">
      <c r="A124" t="s">
        <v>185</v>
      </c>
      <c r="C124" t="s">
        <v>20</v>
      </c>
      <c r="D124" t="str">
        <f>PROPER(TRIM(C124))</f>
        <v>Gita Maharani</v>
      </c>
      <c r="E124" t="s">
        <v>21</v>
      </c>
      <c r="F124" t="str">
        <f>IF(TRIM(E124)="","",IF(UPPER(TRIM(E124))="IT","IT",IF(UPPER(TRIM(E124))="HR","HR",PROPER(TRIM(E124)))))</f>
        <v>Finance</v>
      </c>
      <c r="G124" s="2">
        <v>46281</v>
      </c>
      <c r="H124" s="3">
        <v>46281.34375</v>
      </c>
      <c r="I124" s="3">
        <v>46281.690972222219</v>
      </c>
      <c r="J124" t="s">
        <v>48</v>
      </c>
      <c r="K124" t="str">
        <f>PROPER(TRIM(J124))</f>
        <v>Late</v>
      </c>
      <c r="N124" t="str">
        <f t="shared" si="1"/>
        <v>Unique</v>
      </c>
    </row>
    <row r="125" spans="1:14" x14ac:dyDescent="0.35">
      <c r="A125" t="s">
        <v>186</v>
      </c>
      <c r="B125" t="s">
        <v>35</v>
      </c>
      <c r="C125" t="s">
        <v>187</v>
      </c>
      <c r="D125" t="str">
        <f>PROPER(TRIM(C125))</f>
        <v>Alya Putri</v>
      </c>
      <c r="E125" t="s">
        <v>21</v>
      </c>
      <c r="F125" t="str">
        <f>IF(TRIM(E125)="","",IF(UPPER(TRIM(E125))="IT","IT",IF(UPPER(TRIM(E125))="HR","HR",PROPER(TRIM(E125)))))</f>
        <v>Finance</v>
      </c>
      <c r="G125" s="2">
        <v>46294</v>
      </c>
      <c r="J125" t="s">
        <v>37</v>
      </c>
      <c r="K125" t="str">
        <f>PROPER(TRIM(J125))</f>
        <v>Sick</v>
      </c>
      <c r="N125" t="str">
        <f t="shared" si="1"/>
        <v>Unique</v>
      </c>
    </row>
    <row r="126" spans="1:14" x14ac:dyDescent="0.35">
      <c r="A126" t="s">
        <v>188</v>
      </c>
      <c r="B126" t="s">
        <v>19</v>
      </c>
      <c r="C126" t="s">
        <v>20</v>
      </c>
      <c r="D126" t="str">
        <f>PROPER(TRIM(C126))</f>
        <v>Gita Maharani</v>
      </c>
      <c r="E126" t="s">
        <v>21</v>
      </c>
      <c r="F126" t="str">
        <f>IF(TRIM(E126)="","",IF(UPPER(TRIM(E126))="IT","IT",IF(UPPER(TRIM(E126))="HR","HR",PROPER(TRIM(E126)))))</f>
        <v>Finance</v>
      </c>
      <c r="G126" s="2">
        <v>46273</v>
      </c>
      <c r="H126" s="3">
        <v>46273.34375</v>
      </c>
      <c r="I126" s="3">
        <v>46273.697222222218</v>
      </c>
      <c r="J126" t="s">
        <v>13</v>
      </c>
      <c r="K126" t="str">
        <f>PROPER(TRIM(J126))</f>
        <v>Present</v>
      </c>
      <c r="N126" t="str">
        <f t="shared" si="1"/>
        <v>Unique</v>
      </c>
    </row>
    <row r="127" spans="1:14" x14ac:dyDescent="0.35">
      <c r="A127" t="s">
        <v>189</v>
      </c>
      <c r="B127" t="s">
        <v>23</v>
      </c>
      <c r="C127" t="s">
        <v>24</v>
      </c>
      <c r="D127" t="str">
        <f>PROPER(TRIM(C127))</f>
        <v>Intan Permata</v>
      </c>
      <c r="E127" t="s">
        <v>62</v>
      </c>
      <c r="F127" t="str">
        <f>IF(TRIM(E127)="","",IF(UPPER(TRIM(E127))="IT","IT",IF(UPPER(TRIM(E127))="HR","HR",PROPER(TRIM(E127)))))</f>
        <v>Sales</v>
      </c>
      <c r="G127" s="2">
        <v>46273</v>
      </c>
      <c r="J127" t="s">
        <v>190</v>
      </c>
      <c r="K127" t="str">
        <f>PROPER(TRIM(J127))</f>
        <v>Sick</v>
      </c>
      <c r="N127" t="str">
        <f t="shared" si="1"/>
        <v>Unique</v>
      </c>
    </row>
    <row r="128" spans="1:14" x14ac:dyDescent="0.35">
      <c r="A128" t="s">
        <v>191</v>
      </c>
      <c r="B128" t="s">
        <v>72</v>
      </c>
      <c r="C128" t="s">
        <v>73</v>
      </c>
      <c r="D128" t="str">
        <f>PROPER(TRIM(C128))</f>
        <v>Hadi Wijaya</v>
      </c>
      <c r="E128" t="s">
        <v>33</v>
      </c>
      <c r="F128" t="str">
        <f>IF(TRIM(E128)="","",IF(UPPER(TRIM(E128))="IT","IT",IF(UPPER(TRIM(E128))="HR","HR",PROPER(TRIM(E128)))))</f>
        <v>IT</v>
      </c>
      <c r="G128" s="2">
        <v>46272</v>
      </c>
      <c r="J128" t="s">
        <v>37</v>
      </c>
      <c r="K128" t="str">
        <f>PROPER(TRIM(J128))</f>
        <v>Sick</v>
      </c>
      <c r="L128" t="s">
        <v>29</v>
      </c>
      <c r="N128" t="str">
        <f t="shared" si="1"/>
        <v>Unique</v>
      </c>
    </row>
    <row r="129" spans="1:14" x14ac:dyDescent="0.35">
      <c r="A129" t="s">
        <v>192</v>
      </c>
      <c r="B129" t="s">
        <v>10</v>
      </c>
      <c r="C129" t="s">
        <v>11</v>
      </c>
      <c r="D129" t="str">
        <f>PROPER(TRIM(C129))</f>
        <v>Kirana Dewi</v>
      </c>
      <c r="E129" t="s">
        <v>12</v>
      </c>
      <c r="F129" t="str">
        <f>IF(TRIM(E129)="","",IF(UPPER(TRIM(E129))="IT","IT",IF(UPPER(TRIM(E129))="HR","HR",PROPER(TRIM(E129)))))</f>
        <v>Operations</v>
      </c>
      <c r="G129" s="2">
        <v>46282</v>
      </c>
      <c r="J129" t="s">
        <v>28</v>
      </c>
      <c r="K129" t="str">
        <f>PROPER(TRIM(J129))</f>
        <v>Absent</v>
      </c>
      <c r="L129" t="s">
        <v>113</v>
      </c>
      <c r="N129" t="str">
        <f t="shared" si="1"/>
        <v>Unique</v>
      </c>
    </row>
    <row r="130" spans="1:14" x14ac:dyDescent="0.35">
      <c r="A130" t="s">
        <v>193</v>
      </c>
      <c r="B130" t="s">
        <v>42</v>
      </c>
      <c r="C130" t="s">
        <v>43</v>
      </c>
      <c r="D130" t="str">
        <f>PROPER(TRIM(C130))</f>
        <v>Farhan Akbar</v>
      </c>
      <c r="E130" t="s">
        <v>12</v>
      </c>
      <c r="F130" t="str">
        <f>IF(TRIM(E130)="","",IF(UPPER(TRIM(E130))="IT","IT",IF(UPPER(TRIM(E130))="HR","HR",PROPER(TRIM(E130)))))</f>
        <v>Operations</v>
      </c>
      <c r="G130" s="2">
        <v>46290</v>
      </c>
      <c r="H130" s="3">
        <v>46290.402777777781</v>
      </c>
      <c r="I130" s="3">
        <v>46290.754166666673</v>
      </c>
      <c r="J130" t="s">
        <v>48</v>
      </c>
      <c r="K130" t="str">
        <f>PROPER(TRIM(J130))</f>
        <v>Late</v>
      </c>
      <c r="N130" t="str">
        <f t="shared" si="1"/>
        <v>Unique</v>
      </c>
    </row>
    <row r="131" spans="1:14" x14ac:dyDescent="0.35">
      <c r="A131" t="s">
        <v>194</v>
      </c>
      <c r="B131" t="s">
        <v>72</v>
      </c>
      <c r="C131" t="s">
        <v>73</v>
      </c>
      <c r="D131" t="str">
        <f>PROPER(TRIM(C131))</f>
        <v>Hadi Wijaya</v>
      </c>
      <c r="E131" t="s">
        <v>33</v>
      </c>
      <c r="F131" t="str">
        <f>IF(TRIM(E131)="","",IF(UPPER(TRIM(E131))="IT","IT",IF(UPPER(TRIM(E131))="HR","HR",PROPER(TRIM(E131)))))</f>
        <v>IT</v>
      </c>
      <c r="G131" s="2">
        <v>46294</v>
      </c>
      <c r="H131" s="3">
        <v>46294.340277777781</v>
      </c>
      <c r="I131" s="3">
        <v>46294.693055555559</v>
      </c>
      <c r="J131" t="s">
        <v>13</v>
      </c>
      <c r="K131" t="str">
        <f>PROPER(TRIM(J131))</f>
        <v>Present</v>
      </c>
      <c r="N131" t="str">
        <f t="shared" ref="N131:N185" si="2">IF(COUNTIF($A:$A,A131)&gt;1,"Check Duplicate","Unique")</f>
        <v>Unique</v>
      </c>
    </row>
    <row r="132" spans="1:14" x14ac:dyDescent="0.35">
      <c r="A132" t="s">
        <v>195</v>
      </c>
      <c r="B132" t="s">
        <v>31</v>
      </c>
      <c r="C132" t="s">
        <v>32</v>
      </c>
      <c r="D132" t="str">
        <f>PROPER(TRIM(C132))</f>
        <v>Dimas Saputra</v>
      </c>
      <c r="E132" t="s">
        <v>33</v>
      </c>
      <c r="F132" t="str">
        <f>IF(TRIM(E132)="","",IF(UPPER(TRIM(E132))="IT","IT",IF(UPPER(TRIM(E132))="HR","HR",PROPER(TRIM(E132)))))</f>
        <v>IT</v>
      </c>
      <c r="G132" s="2">
        <v>46293</v>
      </c>
      <c r="J132" t="s">
        <v>54</v>
      </c>
      <c r="K132" t="str">
        <f>PROPER(TRIM(J132))</f>
        <v>Leave</v>
      </c>
      <c r="N132" t="str">
        <f t="shared" si="2"/>
        <v>Unique</v>
      </c>
    </row>
    <row r="133" spans="1:14" x14ac:dyDescent="0.35">
      <c r="A133" t="s">
        <v>196</v>
      </c>
      <c r="B133" t="s">
        <v>23</v>
      </c>
      <c r="C133" t="s">
        <v>24</v>
      </c>
      <c r="D133" t="str">
        <f>PROPER(TRIM(C133))</f>
        <v>Intan Permata</v>
      </c>
      <c r="E133" t="s">
        <v>62</v>
      </c>
      <c r="F133" t="str">
        <f>IF(TRIM(E133)="","",IF(UPPER(TRIM(E133))="IT","IT",IF(UPPER(TRIM(E133))="HR","HR",PROPER(TRIM(E133)))))</f>
        <v>Sales</v>
      </c>
      <c r="G133" s="2">
        <v>46281</v>
      </c>
      <c r="J133" t="s">
        <v>54</v>
      </c>
      <c r="K133" t="str">
        <f>PROPER(TRIM(J133))</f>
        <v>Leave</v>
      </c>
      <c r="N133" t="str">
        <f t="shared" si="2"/>
        <v>Unique</v>
      </c>
    </row>
    <row r="134" spans="1:14" x14ac:dyDescent="0.35">
      <c r="A134" t="s">
        <v>197</v>
      </c>
      <c r="B134" t="s">
        <v>64</v>
      </c>
      <c r="C134" t="s">
        <v>65</v>
      </c>
      <c r="D134" t="str">
        <f>PROPER(TRIM(C134))</f>
        <v>Eka Wulandari</v>
      </c>
      <c r="E134" t="s">
        <v>62</v>
      </c>
      <c r="F134" t="str">
        <f>IF(TRIM(E134)="","",IF(UPPER(TRIM(E134))="IT","IT",IF(UPPER(TRIM(E134))="HR","HR",PROPER(TRIM(E134)))))</f>
        <v>Sales</v>
      </c>
      <c r="G134" s="2">
        <v>46280</v>
      </c>
      <c r="H134" s="3">
        <v>46280.336805555547</v>
      </c>
      <c r="I134" s="3">
        <v>46280.680555555547</v>
      </c>
      <c r="J134" t="s">
        <v>13</v>
      </c>
      <c r="K134" t="str">
        <f>PROPER(TRIM(J134))</f>
        <v>Present</v>
      </c>
      <c r="N134" t="str">
        <f t="shared" si="2"/>
        <v>Unique</v>
      </c>
    </row>
    <row r="135" spans="1:14" x14ac:dyDescent="0.35">
      <c r="A135" t="s">
        <v>198</v>
      </c>
      <c r="B135" t="s">
        <v>42</v>
      </c>
      <c r="C135" t="s">
        <v>43</v>
      </c>
      <c r="D135" t="str">
        <f>PROPER(TRIM(C135))</f>
        <v>Farhan Akbar</v>
      </c>
      <c r="E135" t="s">
        <v>12</v>
      </c>
      <c r="F135" t="str">
        <f>IF(TRIM(E135)="","",IF(UPPER(TRIM(E135))="IT","IT",IF(UPPER(TRIM(E135))="HR","HR",PROPER(TRIM(E135)))))</f>
        <v>Operations</v>
      </c>
      <c r="G135" t="s">
        <v>178</v>
      </c>
      <c r="J135" t="s">
        <v>28</v>
      </c>
      <c r="K135" t="str">
        <f>PROPER(TRIM(J135))</f>
        <v>Absent</v>
      </c>
      <c r="N135" t="str">
        <f t="shared" si="2"/>
        <v>Unique</v>
      </c>
    </row>
    <row r="136" spans="1:14" x14ac:dyDescent="0.35">
      <c r="A136" t="s">
        <v>199</v>
      </c>
      <c r="B136" t="s">
        <v>15</v>
      </c>
      <c r="C136" t="s">
        <v>200</v>
      </c>
      <c r="D136" t="str">
        <f>PROPER(TRIM(C136))</f>
        <v>Citra Lestari</v>
      </c>
      <c r="E136" t="s">
        <v>17</v>
      </c>
      <c r="F136" t="str">
        <f>IF(TRIM(E136)="","",IF(UPPER(TRIM(E136))="IT","IT",IF(UPPER(TRIM(E136))="HR","HR",PROPER(TRIM(E136)))))</f>
        <v>HR</v>
      </c>
      <c r="G136" s="2">
        <v>46272</v>
      </c>
      <c r="H136" s="3">
        <v>46272.340277777781</v>
      </c>
      <c r="I136" s="3">
        <v>46272.70416666667</v>
      </c>
      <c r="J136" t="s">
        <v>13</v>
      </c>
      <c r="K136" t="str">
        <f>PROPER(TRIM(J136))</f>
        <v>Present</v>
      </c>
      <c r="N136" t="str">
        <f t="shared" si="2"/>
        <v>Unique</v>
      </c>
    </row>
    <row r="137" spans="1:14" x14ac:dyDescent="0.35">
      <c r="A137" t="s">
        <v>201</v>
      </c>
      <c r="B137" t="s">
        <v>39</v>
      </c>
      <c r="C137" t="s">
        <v>40</v>
      </c>
      <c r="D137" t="str">
        <f>PROPER(TRIM(C137))</f>
        <v>Lukman Hakim</v>
      </c>
      <c r="E137" t="s">
        <v>21</v>
      </c>
      <c r="F137" t="str">
        <f>IF(TRIM(E137)="","",IF(UPPER(TRIM(E137))="IT","IT",IF(UPPER(TRIM(E137))="HR","HR",PROPER(TRIM(E137)))))</f>
        <v>Finance</v>
      </c>
      <c r="G137" s="2">
        <v>46272</v>
      </c>
      <c r="H137" s="3">
        <v>46272.340277777781</v>
      </c>
      <c r="I137" s="3">
        <v>46272.691666666673</v>
      </c>
      <c r="J137" t="s">
        <v>13</v>
      </c>
      <c r="K137" t="str">
        <f>PROPER(TRIM(J137))</f>
        <v>Present</v>
      </c>
      <c r="N137" t="str">
        <f t="shared" si="2"/>
        <v>Unique</v>
      </c>
    </row>
    <row r="138" spans="1:14" x14ac:dyDescent="0.35">
      <c r="A138" t="s">
        <v>202</v>
      </c>
      <c r="B138" t="s">
        <v>23</v>
      </c>
      <c r="C138" t="s">
        <v>24</v>
      </c>
      <c r="D138" t="str">
        <f>PROPER(TRIM(C138))</f>
        <v>Intan Permata</v>
      </c>
      <c r="E138" t="s">
        <v>25</v>
      </c>
      <c r="F138" t="str">
        <f>IF(TRIM(E138)="","",IF(UPPER(TRIM(E138))="IT","IT",IF(UPPER(TRIM(E138))="HR","HR",PROPER(TRIM(E138)))))</f>
        <v>Sales</v>
      </c>
      <c r="G138" s="2">
        <v>46280</v>
      </c>
      <c r="H138" s="3">
        <v>46280.34375</v>
      </c>
      <c r="I138" s="3">
        <v>46280.695138888892</v>
      </c>
      <c r="J138" t="s">
        <v>48</v>
      </c>
      <c r="K138" t="str">
        <f>PROPER(TRIM(J138))</f>
        <v>Late</v>
      </c>
      <c r="N138" t="str">
        <f t="shared" si="2"/>
        <v>Unique</v>
      </c>
    </row>
    <row r="139" spans="1:14" x14ac:dyDescent="0.35">
      <c r="A139" t="s">
        <v>203</v>
      </c>
      <c r="B139" t="s">
        <v>19</v>
      </c>
      <c r="C139" t="s">
        <v>20</v>
      </c>
      <c r="D139" t="str">
        <f>PROPER(TRIM(C139))</f>
        <v>Gita Maharani</v>
      </c>
      <c r="E139" t="s">
        <v>21</v>
      </c>
      <c r="F139" t="str">
        <f>IF(TRIM(E139)="","",IF(UPPER(TRIM(E139))="IT","IT",IF(UPPER(TRIM(E139))="HR","HR",PROPER(TRIM(E139)))))</f>
        <v>Finance</v>
      </c>
      <c r="G139" s="2">
        <v>46294</v>
      </c>
      <c r="J139" t="s">
        <v>37</v>
      </c>
      <c r="K139" t="str">
        <f>PROPER(TRIM(J139))</f>
        <v>Sick</v>
      </c>
      <c r="L139" t="s">
        <v>113</v>
      </c>
      <c r="N139" t="str">
        <f t="shared" si="2"/>
        <v>Unique</v>
      </c>
    </row>
    <row r="140" spans="1:14" x14ac:dyDescent="0.35">
      <c r="A140" t="s">
        <v>204</v>
      </c>
      <c r="B140" t="s">
        <v>39</v>
      </c>
      <c r="C140" t="s">
        <v>40</v>
      </c>
      <c r="D140" t="str">
        <f>PROPER(TRIM(C140))</f>
        <v>Lukman Hakim</v>
      </c>
      <c r="E140" t="s">
        <v>21</v>
      </c>
      <c r="F140" t="str">
        <f>IF(TRIM(E140)="","",IF(UPPER(TRIM(E140))="IT","IT",IF(UPPER(TRIM(E140))="HR","HR",PROPER(TRIM(E140)))))</f>
        <v>Finance</v>
      </c>
      <c r="G140" s="2">
        <v>46266</v>
      </c>
      <c r="J140" t="s">
        <v>37</v>
      </c>
      <c r="K140" t="str">
        <f>PROPER(TRIM(J140))</f>
        <v>Sick</v>
      </c>
      <c r="L140" t="s">
        <v>113</v>
      </c>
      <c r="N140" t="str">
        <f t="shared" si="2"/>
        <v>Unique</v>
      </c>
    </row>
    <row r="141" spans="1:14" x14ac:dyDescent="0.35">
      <c r="A141" t="s">
        <v>205</v>
      </c>
      <c r="B141" t="s">
        <v>19</v>
      </c>
      <c r="C141" t="s">
        <v>20</v>
      </c>
      <c r="D141" t="str">
        <f>PROPER(TRIM(C141))</f>
        <v>Gita Maharani</v>
      </c>
      <c r="E141" t="s">
        <v>21</v>
      </c>
      <c r="F141" t="str">
        <f>IF(TRIM(E141)="","",IF(UPPER(TRIM(E141))="IT","IT",IF(UPPER(TRIM(E141))="HR","HR",PROPER(TRIM(E141)))))</f>
        <v>Finance</v>
      </c>
      <c r="G141" s="2">
        <v>46281</v>
      </c>
      <c r="H141" s="3">
        <v>46281.336805555547</v>
      </c>
      <c r="I141" s="3">
        <v>46281.683333333327</v>
      </c>
      <c r="J141" t="s">
        <v>13</v>
      </c>
      <c r="K141" t="str">
        <f>PROPER(TRIM(J141))</f>
        <v>Present</v>
      </c>
      <c r="N141" t="str">
        <f t="shared" si="2"/>
        <v>Unique</v>
      </c>
    </row>
    <row r="142" spans="1:14" x14ac:dyDescent="0.35">
      <c r="A142" t="s">
        <v>206</v>
      </c>
      <c r="B142" t="s">
        <v>19</v>
      </c>
      <c r="C142" t="s">
        <v>20</v>
      </c>
      <c r="D142" t="str">
        <f>PROPER(TRIM(C142))</f>
        <v>Gita Maharani</v>
      </c>
      <c r="E142" t="s">
        <v>21</v>
      </c>
      <c r="F142" t="str">
        <f>IF(TRIM(E142)="","",IF(UPPER(TRIM(E142))="IT","IT",IF(UPPER(TRIM(E142))="HR","HR",PROPER(TRIM(E142)))))</f>
        <v>Finance</v>
      </c>
      <c r="G142" s="2">
        <v>46283</v>
      </c>
      <c r="J142" t="s">
        <v>54</v>
      </c>
      <c r="K142" t="str">
        <f>PROPER(TRIM(J142))</f>
        <v>Leave</v>
      </c>
      <c r="L142" t="s">
        <v>66</v>
      </c>
      <c r="N142" t="str">
        <f t="shared" si="2"/>
        <v>Unique</v>
      </c>
    </row>
    <row r="143" spans="1:14" x14ac:dyDescent="0.35">
      <c r="A143" t="s">
        <v>207</v>
      </c>
      <c r="B143" t="s">
        <v>23</v>
      </c>
      <c r="C143" t="s">
        <v>24</v>
      </c>
      <c r="D143" t="str">
        <f>PROPER(TRIM(C143))</f>
        <v>Intan Permata</v>
      </c>
      <c r="E143" t="s">
        <v>25</v>
      </c>
      <c r="F143" t="str">
        <f>IF(TRIM(E143)="","",IF(UPPER(TRIM(E143))="IT","IT",IF(UPPER(TRIM(E143))="HR","HR",PROPER(TRIM(E143)))))</f>
        <v>Sales</v>
      </c>
      <c r="G143" s="2">
        <v>46293</v>
      </c>
      <c r="J143" t="s">
        <v>28</v>
      </c>
      <c r="K143" t="str">
        <f>PROPER(TRIM(J143))</f>
        <v>Absent</v>
      </c>
      <c r="N143" t="str">
        <f t="shared" si="2"/>
        <v>Unique</v>
      </c>
    </row>
    <row r="144" spans="1:14" x14ac:dyDescent="0.35">
      <c r="A144" t="s">
        <v>208</v>
      </c>
      <c r="B144" t="s">
        <v>72</v>
      </c>
      <c r="C144" t="s">
        <v>73</v>
      </c>
      <c r="D144" t="str">
        <f>PROPER(TRIM(C144))</f>
        <v>Hadi Wijaya</v>
      </c>
      <c r="E144" t="s">
        <v>33</v>
      </c>
      <c r="F144" t="str">
        <f>IF(TRIM(E144)="","",IF(UPPER(TRIM(E144))="IT","IT",IF(UPPER(TRIM(E144))="HR","HR",PROPER(TRIM(E144)))))</f>
        <v>IT</v>
      </c>
      <c r="G144" t="s">
        <v>157</v>
      </c>
      <c r="H144" s="3">
        <v>46273.340277777781</v>
      </c>
      <c r="I144" s="3">
        <v>46273.695138888892</v>
      </c>
      <c r="J144" t="s">
        <v>13</v>
      </c>
      <c r="K144" t="str">
        <f>PROPER(TRIM(J144))</f>
        <v>Present</v>
      </c>
      <c r="N144" t="str">
        <f t="shared" si="2"/>
        <v>Unique</v>
      </c>
    </row>
    <row r="145" spans="1:14" x14ac:dyDescent="0.35">
      <c r="A145" t="s">
        <v>209</v>
      </c>
      <c r="B145" t="s">
        <v>19</v>
      </c>
      <c r="C145" t="s">
        <v>20</v>
      </c>
      <c r="D145" t="str">
        <f>PROPER(TRIM(C145))</f>
        <v>Gita Maharani</v>
      </c>
      <c r="E145" t="s">
        <v>21</v>
      </c>
      <c r="F145" t="str">
        <f>IF(TRIM(E145)="","",IF(UPPER(TRIM(E145))="IT","IT",IF(UPPER(TRIM(E145))="HR","HR",PROPER(TRIM(E145)))))</f>
        <v>Finance</v>
      </c>
      <c r="G145" s="2">
        <v>46276</v>
      </c>
      <c r="J145" t="s">
        <v>54</v>
      </c>
      <c r="K145" t="str">
        <f>PROPER(TRIM(J145))</f>
        <v>Leave</v>
      </c>
      <c r="L145" t="s">
        <v>66</v>
      </c>
      <c r="N145" t="str">
        <f t="shared" si="2"/>
        <v>Unique</v>
      </c>
    </row>
    <row r="146" spans="1:14" x14ac:dyDescent="0.35">
      <c r="A146" t="s">
        <v>210</v>
      </c>
      <c r="B146" t="s">
        <v>19</v>
      </c>
      <c r="C146" t="s">
        <v>20</v>
      </c>
      <c r="D146" t="str">
        <f>PROPER(TRIM(C146))</f>
        <v>Gita Maharani</v>
      </c>
      <c r="E146" t="s">
        <v>21</v>
      </c>
      <c r="F146" t="str">
        <f>IF(TRIM(E146)="","",IF(UPPER(TRIM(E146))="IT","IT",IF(UPPER(TRIM(E146))="HR","HR",PROPER(TRIM(E146)))))</f>
        <v>Finance</v>
      </c>
      <c r="G146" s="2">
        <v>46289</v>
      </c>
      <c r="H146" s="3">
        <v>46324.340277777781</v>
      </c>
      <c r="I146" s="3">
        <v>46289.679166666669</v>
      </c>
      <c r="J146" t="s">
        <v>13</v>
      </c>
      <c r="K146" t="str">
        <f>PROPER(TRIM(J146))</f>
        <v>Present</v>
      </c>
      <c r="N146" t="str">
        <f t="shared" si="2"/>
        <v>Unique</v>
      </c>
    </row>
    <row r="147" spans="1:14" x14ac:dyDescent="0.35">
      <c r="A147" t="s">
        <v>211</v>
      </c>
      <c r="B147" t="s">
        <v>23</v>
      </c>
      <c r="C147" t="s">
        <v>24</v>
      </c>
      <c r="D147" t="str">
        <f>PROPER(TRIM(C147))</f>
        <v>Intan Permata</v>
      </c>
      <c r="E147" t="s">
        <v>62</v>
      </c>
      <c r="F147" t="str">
        <f>IF(TRIM(E147)="","",IF(UPPER(TRIM(E147))="IT","IT",IF(UPPER(TRIM(E147))="HR","HR",PROPER(TRIM(E147)))))</f>
        <v>Sales</v>
      </c>
      <c r="G147" s="2">
        <v>46266</v>
      </c>
      <c r="H147" s="3">
        <v>46266.381944444453</v>
      </c>
      <c r="I147" s="3">
        <v>46266.716666666667</v>
      </c>
      <c r="J147" t="s">
        <v>48</v>
      </c>
      <c r="K147" t="str">
        <f>PROPER(TRIM(J147))</f>
        <v>Late</v>
      </c>
      <c r="N147" t="str">
        <f t="shared" si="2"/>
        <v>Unique</v>
      </c>
    </row>
    <row r="148" spans="1:14" x14ac:dyDescent="0.35">
      <c r="A148" t="s">
        <v>212</v>
      </c>
      <c r="B148" t="s">
        <v>19</v>
      </c>
      <c r="C148" t="s">
        <v>20</v>
      </c>
      <c r="D148" t="str">
        <f>PROPER(TRIM(C148))</f>
        <v>Gita Maharani</v>
      </c>
      <c r="E148" t="s">
        <v>21</v>
      </c>
      <c r="F148" t="str">
        <f>IF(TRIM(E148)="","",IF(UPPER(TRIM(E148))="IT","IT",IF(UPPER(TRIM(E148))="HR","HR",PROPER(TRIM(E148)))))</f>
        <v>Finance</v>
      </c>
      <c r="G148" s="2">
        <v>46272</v>
      </c>
      <c r="J148" t="s">
        <v>190</v>
      </c>
      <c r="K148" t="str">
        <f>PROPER(TRIM(J148))</f>
        <v>Sick</v>
      </c>
      <c r="L148" t="s">
        <v>29</v>
      </c>
      <c r="N148" t="str">
        <f t="shared" si="2"/>
        <v>Unique</v>
      </c>
    </row>
    <row r="149" spans="1:14" x14ac:dyDescent="0.35">
      <c r="A149" t="s">
        <v>213</v>
      </c>
      <c r="B149" t="s">
        <v>15</v>
      </c>
      <c r="C149" t="s">
        <v>16</v>
      </c>
      <c r="D149" t="str">
        <f>PROPER(TRIM(C149))</f>
        <v>Citra Lestari</v>
      </c>
      <c r="E149" t="s">
        <v>17</v>
      </c>
      <c r="F149" t="str">
        <f>IF(TRIM(E149)="","",IF(UPPER(TRIM(E149))="IT","IT",IF(UPPER(TRIM(E149))="HR","HR",PROPER(TRIM(E149)))))</f>
        <v>HR</v>
      </c>
      <c r="G149" s="2">
        <v>46267</v>
      </c>
      <c r="H149" s="3">
        <v>46324.340277777781</v>
      </c>
      <c r="I149" s="3">
        <v>46267.6875</v>
      </c>
      <c r="J149" t="s">
        <v>13</v>
      </c>
      <c r="K149" t="str">
        <f>PROPER(TRIM(J149))</f>
        <v>Present</v>
      </c>
      <c r="N149" t="str">
        <f t="shared" si="2"/>
        <v>Unique</v>
      </c>
    </row>
    <row r="150" spans="1:14" x14ac:dyDescent="0.35">
      <c r="A150" t="s">
        <v>214</v>
      </c>
      <c r="B150" t="s">
        <v>72</v>
      </c>
      <c r="C150" t="s">
        <v>73</v>
      </c>
      <c r="D150" t="str">
        <f>PROPER(TRIM(C150))</f>
        <v>Hadi Wijaya</v>
      </c>
      <c r="E150" t="s">
        <v>33</v>
      </c>
      <c r="F150" t="str">
        <f>IF(TRIM(E150)="","",IF(UPPER(TRIM(E150))="IT","IT",IF(UPPER(TRIM(E150))="HR","HR",PROPER(TRIM(E150)))))</f>
        <v>IT</v>
      </c>
      <c r="G150" s="2">
        <v>46276</v>
      </c>
      <c r="H150" s="3">
        <v>46276.340277777781</v>
      </c>
      <c r="I150" s="3">
        <v>46276.685416666667</v>
      </c>
      <c r="J150" t="s">
        <v>13</v>
      </c>
      <c r="K150" t="str">
        <f>PROPER(TRIM(J150))</f>
        <v>Present</v>
      </c>
      <c r="N150" t="str">
        <f t="shared" si="2"/>
        <v>Unique</v>
      </c>
    </row>
    <row r="151" spans="1:14" x14ac:dyDescent="0.35">
      <c r="A151" t="s">
        <v>215</v>
      </c>
      <c r="B151" t="s">
        <v>64</v>
      </c>
      <c r="C151" t="s">
        <v>65</v>
      </c>
      <c r="D151" t="str">
        <f>PROPER(TRIM(C151))</f>
        <v>Eka Wulandari</v>
      </c>
      <c r="E151" t="s">
        <v>62</v>
      </c>
      <c r="F151" t="str">
        <f>IF(TRIM(E151)="","",IF(UPPER(TRIM(E151))="IT","IT",IF(UPPER(TRIM(E151))="HR","HR",PROPER(TRIM(E151)))))</f>
        <v>Sales</v>
      </c>
      <c r="G151" s="2">
        <v>46293</v>
      </c>
      <c r="H151" s="3">
        <v>46293.340277777781</v>
      </c>
      <c r="I151" s="3">
        <v>46293.674305555563</v>
      </c>
      <c r="J151" t="s">
        <v>13</v>
      </c>
      <c r="K151" t="str">
        <f>PROPER(TRIM(J151))</f>
        <v>Present</v>
      </c>
      <c r="N151" t="str">
        <f t="shared" si="2"/>
        <v>Unique</v>
      </c>
    </row>
    <row r="152" spans="1:14" x14ac:dyDescent="0.35">
      <c r="A152" t="s">
        <v>216</v>
      </c>
      <c r="B152" t="s">
        <v>23</v>
      </c>
      <c r="C152" t="s">
        <v>75</v>
      </c>
      <c r="D152" t="str">
        <f>PROPER(TRIM(C152))</f>
        <v>Intan Permata</v>
      </c>
      <c r="E152" t="s">
        <v>62</v>
      </c>
      <c r="F152" t="str">
        <f>IF(TRIM(E152)="","",IF(UPPER(TRIM(E152))="IT","IT",IF(UPPER(TRIM(E152))="HR","HR",PROPER(TRIM(E152)))))</f>
        <v>Sales</v>
      </c>
      <c r="G152" s="2">
        <v>46267</v>
      </c>
      <c r="H152" s="3">
        <v>46267.334027777782</v>
      </c>
      <c r="I152" s="3">
        <v>46267.695833333331</v>
      </c>
      <c r="J152" t="s">
        <v>13</v>
      </c>
      <c r="K152" t="str">
        <f>PROPER(TRIM(J152))</f>
        <v>Present</v>
      </c>
      <c r="N152" t="str">
        <f t="shared" si="2"/>
        <v>Unique</v>
      </c>
    </row>
    <row r="153" spans="1:14" x14ac:dyDescent="0.35">
      <c r="A153" t="s">
        <v>217</v>
      </c>
      <c r="B153" t="s">
        <v>10</v>
      </c>
      <c r="C153" t="s">
        <v>11</v>
      </c>
      <c r="D153" t="str">
        <f>PROPER(TRIM(C153))</f>
        <v>Kirana Dewi</v>
      </c>
      <c r="E153" t="s">
        <v>12</v>
      </c>
      <c r="F153" t="str">
        <f>IF(TRIM(E153)="","",IF(UPPER(TRIM(E153))="IT","IT",IF(UPPER(TRIM(E153))="HR","HR",PROPER(TRIM(E153)))))</f>
        <v>Operations</v>
      </c>
      <c r="G153" s="2">
        <v>46267</v>
      </c>
      <c r="J153" t="s">
        <v>37</v>
      </c>
      <c r="K153" t="str">
        <f>PROPER(TRIM(J153))</f>
        <v>Sick</v>
      </c>
      <c r="N153" t="str">
        <f t="shared" si="2"/>
        <v>Unique</v>
      </c>
    </row>
    <row r="154" spans="1:14" x14ac:dyDescent="0.35">
      <c r="A154" t="s">
        <v>218</v>
      </c>
      <c r="B154" t="s">
        <v>31</v>
      </c>
      <c r="C154" t="s">
        <v>103</v>
      </c>
      <c r="D154" t="str">
        <f>PROPER(TRIM(C154))</f>
        <v>Dimas Saputra</v>
      </c>
      <c r="E154" t="s">
        <v>33</v>
      </c>
      <c r="F154" t="str">
        <f>IF(TRIM(E154)="","",IF(UPPER(TRIM(E154))="IT","IT",IF(UPPER(TRIM(E154))="HR","HR",PROPER(TRIM(E154)))))</f>
        <v>IT</v>
      </c>
      <c r="G154" t="s">
        <v>219</v>
      </c>
      <c r="J154" t="s">
        <v>37</v>
      </c>
      <c r="K154" t="str">
        <f>PROPER(TRIM(J154))</f>
        <v>Sick</v>
      </c>
      <c r="N154" t="str">
        <f t="shared" si="2"/>
        <v>Unique</v>
      </c>
    </row>
    <row r="155" spans="1:14" x14ac:dyDescent="0.35">
      <c r="A155" t="s">
        <v>220</v>
      </c>
      <c r="B155" t="s">
        <v>50</v>
      </c>
      <c r="C155" t="s">
        <v>51</v>
      </c>
      <c r="D155" t="str">
        <f>PROPER(TRIM(C155))</f>
        <v>Joko Santoso</v>
      </c>
      <c r="E155" t="s">
        <v>17</v>
      </c>
      <c r="F155" t="str">
        <f>IF(TRIM(E155)="","",IF(UPPER(TRIM(E155))="IT","IT",IF(UPPER(TRIM(E155))="HR","HR",PROPER(TRIM(E155)))))</f>
        <v>HR</v>
      </c>
      <c r="G155" s="2">
        <v>46272</v>
      </c>
      <c r="H155" s="3">
        <v>46272.334027777782</v>
      </c>
      <c r="I155" s="3">
        <v>46272.688194444447</v>
      </c>
      <c r="J155" t="s">
        <v>13</v>
      </c>
      <c r="K155" t="str">
        <f>PROPER(TRIM(J155))</f>
        <v>Present</v>
      </c>
      <c r="N155" t="str">
        <f t="shared" si="2"/>
        <v>Unique</v>
      </c>
    </row>
    <row r="156" spans="1:14" x14ac:dyDescent="0.35">
      <c r="A156" t="s">
        <v>221</v>
      </c>
      <c r="B156" t="s">
        <v>46</v>
      </c>
      <c r="C156" t="s">
        <v>47</v>
      </c>
      <c r="D156" t="str">
        <f>PROPER(TRIM(C156))</f>
        <v>Bima Pratama</v>
      </c>
      <c r="E156" t="s">
        <v>12</v>
      </c>
      <c r="F156" t="str">
        <f>IF(TRIM(E156)="","",IF(UPPER(TRIM(E156))="IT","IT",IF(UPPER(TRIM(E156))="HR","HR",PROPER(TRIM(E156)))))</f>
        <v>Operations</v>
      </c>
      <c r="G156" s="2">
        <v>46286</v>
      </c>
      <c r="H156" s="3">
        <v>46286.340277777781</v>
      </c>
      <c r="I156" s="3">
        <v>46286.70416666667</v>
      </c>
      <c r="J156" t="s">
        <v>13</v>
      </c>
      <c r="K156" t="str">
        <f>PROPER(TRIM(J156))</f>
        <v>Present</v>
      </c>
      <c r="N156" t="str">
        <f t="shared" si="2"/>
        <v>Unique</v>
      </c>
    </row>
    <row r="157" spans="1:14" x14ac:dyDescent="0.35">
      <c r="A157" t="s">
        <v>222</v>
      </c>
      <c r="B157" t="s">
        <v>42</v>
      </c>
      <c r="C157" t="s">
        <v>43</v>
      </c>
      <c r="D157" t="str">
        <f>PROPER(TRIM(C157))</f>
        <v>Farhan Akbar</v>
      </c>
      <c r="E157" t="s">
        <v>12</v>
      </c>
      <c r="F157" t="str">
        <f>IF(TRIM(E157)="","",IF(UPPER(TRIM(E157))="IT","IT",IF(UPPER(TRIM(E157))="HR","HR",PROPER(TRIM(E157)))))</f>
        <v>Operations</v>
      </c>
      <c r="G157" t="s">
        <v>219</v>
      </c>
      <c r="J157" t="s">
        <v>28</v>
      </c>
      <c r="K157" t="str">
        <f>PROPER(TRIM(J157))</f>
        <v>Absent</v>
      </c>
      <c r="L157" t="s">
        <v>113</v>
      </c>
      <c r="N157" t="str">
        <f t="shared" si="2"/>
        <v>Unique</v>
      </c>
    </row>
    <row r="158" spans="1:14" x14ac:dyDescent="0.35">
      <c r="A158" t="s">
        <v>223</v>
      </c>
      <c r="B158" t="s">
        <v>39</v>
      </c>
      <c r="C158" t="s">
        <v>40</v>
      </c>
      <c r="D158" t="str">
        <f>PROPER(TRIM(C158))</f>
        <v>Lukman Hakim</v>
      </c>
      <c r="E158" t="s">
        <v>21</v>
      </c>
      <c r="F158" t="str">
        <f>IF(TRIM(E158)="","",IF(UPPER(TRIM(E158))="IT","IT",IF(UPPER(TRIM(E158))="HR","HR",PROPER(TRIM(E158)))))</f>
        <v>Finance</v>
      </c>
      <c r="G158" s="2">
        <v>46288</v>
      </c>
      <c r="H158" s="3">
        <v>46288.334027777782</v>
      </c>
      <c r="I158" s="3">
        <v>46288.680555555547</v>
      </c>
      <c r="J158" t="s">
        <v>13</v>
      </c>
      <c r="K158" t="str">
        <f>PROPER(TRIM(J158))</f>
        <v>Present</v>
      </c>
      <c r="N158" t="str">
        <f t="shared" si="2"/>
        <v>Unique</v>
      </c>
    </row>
    <row r="159" spans="1:14" x14ac:dyDescent="0.35">
      <c r="A159" t="s">
        <v>224</v>
      </c>
      <c r="B159" t="s">
        <v>50</v>
      </c>
      <c r="C159" t="s">
        <v>51</v>
      </c>
      <c r="D159" t="str">
        <f>PROPER(TRIM(C159))</f>
        <v>Joko Santoso</v>
      </c>
      <c r="E159" t="s">
        <v>17</v>
      </c>
      <c r="F159" t="str">
        <f>IF(TRIM(E159)="","",IF(UPPER(TRIM(E159))="IT","IT",IF(UPPER(TRIM(E159))="HR","HR",PROPER(TRIM(E159)))))</f>
        <v>HR</v>
      </c>
      <c r="G159" s="2">
        <v>46266</v>
      </c>
      <c r="H159" s="3">
        <v>46266.34375</v>
      </c>
      <c r="I159" s="3">
        <v>46266.706944444442</v>
      </c>
      <c r="J159" t="s">
        <v>13</v>
      </c>
      <c r="K159" t="str">
        <f>PROPER(TRIM(J159))</f>
        <v>Present</v>
      </c>
      <c r="N159" t="str">
        <f t="shared" si="2"/>
        <v>Unique</v>
      </c>
    </row>
    <row r="160" spans="1:14" x14ac:dyDescent="0.35">
      <c r="A160" t="s">
        <v>225</v>
      </c>
      <c r="B160" t="s">
        <v>19</v>
      </c>
      <c r="C160" t="s">
        <v>20</v>
      </c>
      <c r="D160" t="str">
        <f>PROPER(TRIM(C160))</f>
        <v>Gita Maharani</v>
      </c>
      <c r="E160" t="s">
        <v>21</v>
      </c>
      <c r="F160" t="str">
        <f>IF(TRIM(E160)="","",IF(UPPER(TRIM(E160))="IT","IT",IF(UPPER(TRIM(E160))="HR","HR",PROPER(TRIM(E160)))))</f>
        <v>Finance</v>
      </c>
      <c r="G160" t="s">
        <v>226</v>
      </c>
      <c r="H160" s="3">
        <v>46288.333333333343</v>
      </c>
      <c r="I160" s="3">
        <v>46288.692361111112</v>
      </c>
      <c r="J160" t="s">
        <v>13</v>
      </c>
      <c r="K160" t="str">
        <f>PROPER(TRIM(J160))</f>
        <v>Present</v>
      </c>
      <c r="N160" t="str">
        <f t="shared" si="2"/>
        <v>Unique</v>
      </c>
    </row>
    <row r="161" spans="1:14" x14ac:dyDescent="0.35">
      <c r="A161" t="s">
        <v>227</v>
      </c>
      <c r="B161" t="s">
        <v>10</v>
      </c>
      <c r="C161" t="s">
        <v>11</v>
      </c>
      <c r="D161" t="str">
        <f>PROPER(TRIM(C161))</f>
        <v>Kirana Dewi</v>
      </c>
      <c r="E161" t="s">
        <v>12</v>
      </c>
      <c r="F161" t="str">
        <f>IF(TRIM(E161)="","",IF(UPPER(TRIM(E161))="IT","IT",IF(UPPER(TRIM(E161))="HR","HR",PROPER(TRIM(E161)))))</f>
        <v>Operations</v>
      </c>
      <c r="G161" s="2">
        <v>46273</v>
      </c>
      <c r="H161" s="3">
        <v>46273.336805555547</v>
      </c>
      <c r="I161" s="3">
        <v>46273.7</v>
      </c>
      <c r="J161" t="s">
        <v>13</v>
      </c>
      <c r="K161" t="str">
        <f>PROPER(TRIM(J161))</f>
        <v>Present</v>
      </c>
      <c r="N161" t="str">
        <f t="shared" si="2"/>
        <v>Unique</v>
      </c>
    </row>
    <row r="162" spans="1:14" x14ac:dyDescent="0.35">
      <c r="A162" t="s">
        <v>228</v>
      </c>
      <c r="B162" t="s">
        <v>46</v>
      </c>
      <c r="C162" t="s">
        <v>47</v>
      </c>
      <c r="D162" t="str">
        <f>PROPER(TRIM(C162))</f>
        <v>Bima Pratama</v>
      </c>
      <c r="E162" t="s">
        <v>12</v>
      </c>
      <c r="F162" t="str">
        <f>IF(TRIM(E162)="","",IF(UPPER(TRIM(E162))="IT","IT",IF(UPPER(TRIM(E162))="HR","HR",PROPER(TRIM(E162)))))</f>
        <v>Operations</v>
      </c>
      <c r="G162" s="2">
        <v>46293</v>
      </c>
      <c r="J162" t="s">
        <v>28</v>
      </c>
      <c r="K162" t="str">
        <f>PROPER(TRIM(J162))</f>
        <v>Absent</v>
      </c>
      <c r="N162" t="str">
        <f t="shared" si="2"/>
        <v>Unique</v>
      </c>
    </row>
    <row r="163" spans="1:14" x14ac:dyDescent="0.35">
      <c r="A163" t="s">
        <v>229</v>
      </c>
      <c r="B163" t="s">
        <v>42</v>
      </c>
      <c r="C163" t="s">
        <v>43</v>
      </c>
      <c r="D163" t="str">
        <f>PROPER(TRIM(C163))</f>
        <v>Farhan Akbar</v>
      </c>
      <c r="E163" t="s">
        <v>12</v>
      </c>
      <c r="F163" t="str">
        <f>IF(TRIM(E163)="","",IF(UPPER(TRIM(E163))="IT","IT",IF(UPPER(TRIM(E163))="HR","HR",PROPER(TRIM(E163)))))</f>
        <v>Operations</v>
      </c>
      <c r="G163" s="2">
        <v>46283</v>
      </c>
      <c r="H163" s="3">
        <v>46324.392361111109</v>
      </c>
      <c r="I163" s="3">
        <v>46283.727083333331</v>
      </c>
      <c r="J163" t="s">
        <v>48</v>
      </c>
      <c r="K163" t="str">
        <f>PROPER(TRIM(J163))</f>
        <v>Late</v>
      </c>
      <c r="N163" t="str">
        <f t="shared" si="2"/>
        <v>Unique</v>
      </c>
    </row>
    <row r="164" spans="1:14" x14ac:dyDescent="0.35">
      <c r="A164" t="s">
        <v>230</v>
      </c>
      <c r="B164" t="s">
        <v>10</v>
      </c>
      <c r="C164" t="s">
        <v>11</v>
      </c>
      <c r="D164" t="str">
        <f>PROPER(TRIM(C164))</f>
        <v>Kirana Dewi</v>
      </c>
      <c r="E164" t="s">
        <v>12</v>
      </c>
      <c r="F164" t="str">
        <f>IF(TRIM(E164)="","",IF(UPPER(TRIM(E164))="IT","IT",IF(UPPER(TRIM(E164))="HR","HR",PROPER(TRIM(E164)))))</f>
        <v>Operations</v>
      </c>
      <c r="G164" s="2">
        <v>46276</v>
      </c>
      <c r="H164" s="3">
        <v>46276.340277777781</v>
      </c>
      <c r="I164" s="3">
        <v>46276.695138888892</v>
      </c>
      <c r="J164" t="s">
        <v>13</v>
      </c>
      <c r="K164" t="str">
        <f>PROPER(TRIM(J164))</f>
        <v>Present</v>
      </c>
      <c r="N164" t="str">
        <f t="shared" si="2"/>
        <v>Unique</v>
      </c>
    </row>
    <row r="165" spans="1:14" x14ac:dyDescent="0.35">
      <c r="A165" t="s">
        <v>231</v>
      </c>
      <c r="B165" t="s">
        <v>19</v>
      </c>
      <c r="C165" t="s">
        <v>20</v>
      </c>
      <c r="D165" t="str">
        <f>PROPER(TRIM(C165))</f>
        <v>Gita Maharani</v>
      </c>
      <c r="E165" t="s">
        <v>21</v>
      </c>
      <c r="F165" t="str">
        <f>IF(TRIM(E165)="","",IF(UPPER(TRIM(E165))="IT","IT",IF(UPPER(TRIM(E165))="HR","HR",PROPER(TRIM(E165)))))</f>
        <v>Finance</v>
      </c>
      <c r="G165" s="2">
        <v>46279</v>
      </c>
      <c r="J165" t="s">
        <v>232</v>
      </c>
      <c r="K165" t="str">
        <f>PROPER(TRIM(J165))</f>
        <v>Leave</v>
      </c>
      <c r="L165" t="s">
        <v>29</v>
      </c>
      <c r="N165" t="str">
        <f t="shared" si="2"/>
        <v>Unique</v>
      </c>
    </row>
    <row r="166" spans="1:14" x14ac:dyDescent="0.35">
      <c r="A166" t="s">
        <v>233</v>
      </c>
      <c r="B166" t="s">
        <v>39</v>
      </c>
      <c r="C166" t="s">
        <v>40</v>
      </c>
      <c r="D166" t="str">
        <f>PROPER(TRIM(C166))</f>
        <v>Lukman Hakim</v>
      </c>
      <c r="E166" t="s">
        <v>21</v>
      </c>
      <c r="F166" t="str">
        <f>IF(TRIM(E166)="","",IF(UPPER(TRIM(E166))="IT","IT",IF(UPPER(TRIM(E166))="HR","HR",PROPER(TRIM(E166)))))</f>
        <v>Finance</v>
      </c>
      <c r="G166" s="2">
        <v>46272</v>
      </c>
      <c r="H166" s="3">
        <v>46272.350694444453</v>
      </c>
      <c r="I166" s="3">
        <v>46272.697222222218</v>
      </c>
      <c r="J166" t="s">
        <v>48</v>
      </c>
      <c r="K166" t="str">
        <f>PROPER(TRIM(J166))</f>
        <v>Late</v>
      </c>
      <c r="N166" t="str">
        <f t="shared" si="2"/>
        <v>Unique</v>
      </c>
    </row>
    <row r="167" spans="1:14" x14ac:dyDescent="0.35">
      <c r="A167" t="s">
        <v>234</v>
      </c>
      <c r="B167" t="s">
        <v>72</v>
      </c>
      <c r="C167" t="s">
        <v>73</v>
      </c>
      <c r="D167" t="str">
        <f>PROPER(TRIM(C167))</f>
        <v>Hadi Wijaya</v>
      </c>
      <c r="E167" t="s">
        <v>33</v>
      </c>
      <c r="F167" t="str">
        <f>IF(TRIM(E167)="","",IF(UPPER(TRIM(E167))="IT","IT",IF(UPPER(TRIM(E167))="HR","HR",PROPER(TRIM(E167)))))</f>
        <v>IT</v>
      </c>
      <c r="G167" s="2">
        <v>46280</v>
      </c>
      <c r="H167" s="3">
        <v>46280.392361111109</v>
      </c>
      <c r="I167" s="3">
        <v>46280.732638888891</v>
      </c>
      <c r="J167" t="s">
        <v>48</v>
      </c>
      <c r="K167" t="str">
        <f>PROPER(TRIM(J167))</f>
        <v>Late</v>
      </c>
      <c r="N167" t="str">
        <f t="shared" si="2"/>
        <v>Unique</v>
      </c>
    </row>
    <row r="168" spans="1:14" x14ac:dyDescent="0.35">
      <c r="A168" t="s">
        <v>235</v>
      </c>
      <c r="B168" t="s">
        <v>46</v>
      </c>
      <c r="C168" t="s">
        <v>47</v>
      </c>
      <c r="D168" t="str">
        <f>PROPER(TRIM(C168))</f>
        <v>Bima Pratama</v>
      </c>
      <c r="E168" t="s">
        <v>12</v>
      </c>
      <c r="F168" t="str">
        <f>IF(TRIM(E168)="","",IF(UPPER(TRIM(E168))="IT","IT",IF(UPPER(TRIM(E168))="HR","HR",PROPER(TRIM(E168)))))</f>
        <v>Operations</v>
      </c>
      <c r="G168" s="2">
        <v>46274</v>
      </c>
      <c r="H168" s="3">
        <v>46274.361111111109</v>
      </c>
      <c r="I168" s="3">
        <v>46274.706944444442</v>
      </c>
      <c r="J168" t="s">
        <v>48</v>
      </c>
      <c r="K168" t="str">
        <f>PROPER(TRIM(J168))</f>
        <v>Late</v>
      </c>
      <c r="N168" t="str">
        <f t="shared" si="2"/>
        <v>Unique</v>
      </c>
    </row>
    <row r="169" spans="1:14" x14ac:dyDescent="0.35">
      <c r="A169" t="s">
        <v>236</v>
      </c>
      <c r="B169" t="s">
        <v>10</v>
      </c>
      <c r="C169" t="s">
        <v>11</v>
      </c>
      <c r="D169" t="str">
        <f>PROPER(TRIM(C169))</f>
        <v>Kirana Dewi</v>
      </c>
      <c r="E169" t="s">
        <v>12</v>
      </c>
      <c r="F169" t="str">
        <f>IF(TRIM(E169)="","",IF(UPPER(TRIM(E169))="IT","IT",IF(UPPER(TRIM(E169))="HR","HR",PROPER(TRIM(E169)))))</f>
        <v>Operations</v>
      </c>
      <c r="G169" s="2">
        <v>46279</v>
      </c>
      <c r="H169" s="3">
        <v>46279.333333333343</v>
      </c>
      <c r="I169" s="3">
        <v>46279.688194444447</v>
      </c>
      <c r="J169" t="s">
        <v>13</v>
      </c>
      <c r="K169" t="str">
        <f>PROPER(TRIM(J169))</f>
        <v>Present</v>
      </c>
      <c r="N169" t="str">
        <f t="shared" si="2"/>
        <v>Unique</v>
      </c>
    </row>
    <row r="170" spans="1:14" x14ac:dyDescent="0.35">
      <c r="A170" t="s">
        <v>237</v>
      </c>
      <c r="B170" t="s">
        <v>15</v>
      </c>
      <c r="C170" t="s">
        <v>16</v>
      </c>
      <c r="D170" t="str">
        <f>PROPER(TRIM(C170))</f>
        <v>Citra Lestari</v>
      </c>
      <c r="E170" t="s">
        <v>17</v>
      </c>
      <c r="F170" t="str">
        <f>IF(TRIM(E170)="","",IF(UPPER(TRIM(E170))="IT","IT",IF(UPPER(TRIM(E170))="HR","HR",PROPER(TRIM(E170)))))</f>
        <v>HR</v>
      </c>
      <c r="G170" s="2">
        <v>46281</v>
      </c>
      <c r="H170" s="3">
        <v>46281.336805555547</v>
      </c>
      <c r="I170" s="3">
        <v>46281.681250000001</v>
      </c>
      <c r="J170" t="s">
        <v>13</v>
      </c>
      <c r="K170" t="str">
        <f>PROPER(TRIM(J170))</f>
        <v>Present</v>
      </c>
      <c r="N170" t="str">
        <f t="shared" si="2"/>
        <v>Unique</v>
      </c>
    </row>
    <row r="171" spans="1:14" x14ac:dyDescent="0.35">
      <c r="A171" t="s">
        <v>238</v>
      </c>
      <c r="B171" t="s">
        <v>64</v>
      </c>
      <c r="C171" t="s">
        <v>65</v>
      </c>
      <c r="D171" t="str">
        <f>PROPER(TRIM(C171))</f>
        <v>Eka Wulandari</v>
      </c>
      <c r="E171" t="s">
        <v>62</v>
      </c>
      <c r="F171" t="str">
        <f>IF(TRIM(E171)="","",IF(UPPER(TRIM(E171))="IT","IT",IF(UPPER(TRIM(E171))="HR","HR",PROPER(TRIM(E171)))))</f>
        <v>Sales</v>
      </c>
      <c r="G171" s="2">
        <v>46294</v>
      </c>
      <c r="J171" t="s">
        <v>28</v>
      </c>
      <c r="K171" t="str">
        <f>PROPER(TRIM(J171))</f>
        <v>Absent</v>
      </c>
      <c r="L171" t="s">
        <v>66</v>
      </c>
      <c r="N171" t="str">
        <f t="shared" si="2"/>
        <v>Unique</v>
      </c>
    </row>
    <row r="172" spans="1:14" x14ac:dyDescent="0.35">
      <c r="A172" t="s">
        <v>239</v>
      </c>
      <c r="B172" t="s">
        <v>64</v>
      </c>
      <c r="C172" t="s">
        <v>65</v>
      </c>
      <c r="D172" t="str">
        <f>PROPER(TRIM(C172))</f>
        <v>Eka Wulandari</v>
      </c>
      <c r="E172" t="s">
        <v>62</v>
      </c>
      <c r="F172" t="str">
        <f>IF(TRIM(E172)="","",IF(UPPER(TRIM(E172))="IT","IT",IF(UPPER(TRIM(E172))="HR","HR",PROPER(TRIM(E172)))))</f>
        <v>Sales</v>
      </c>
      <c r="G172" s="2">
        <v>46283</v>
      </c>
      <c r="H172" s="3">
        <v>46283.34375</v>
      </c>
      <c r="I172" s="3">
        <v>46283.685416666667</v>
      </c>
      <c r="J172" t="s">
        <v>13</v>
      </c>
      <c r="K172" t="str">
        <f>PROPER(TRIM(J172))</f>
        <v>Present</v>
      </c>
      <c r="N172" t="str">
        <f t="shared" si="2"/>
        <v>Unique</v>
      </c>
    </row>
    <row r="173" spans="1:14" x14ac:dyDescent="0.35">
      <c r="A173" t="s">
        <v>240</v>
      </c>
      <c r="B173" t="s">
        <v>31</v>
      </c>
      <c r="C173" t="s">
        <v>32</v>
      </c>
      <c r="D173" t="str">
        <f>PROPER(TRIM(C173))</f>
        <v>Dimas Saputra</v>
      </c>
      <c r="E173" t="s">
        <v>33</v>
      </c>
      <c r="F173" t="str">
        <f>IF(TRIM(E173)="","",IF(UPPER(TRIM(E173))="IT","IT",IF(UPPER(TRIM(E173))="HR","HR",PROPER(TRIM(E173)))))</f>
        <v>IT</v>
      </c>
      <c r="G173" s="2">
        <v>46289</v>
      </c>
      <c r="H173" s="3">
        <v>46289.34375</v>
      </c>
      <c r="I173" s="3">
        <v>46289.692361111112</v>
      </c>
      <c r="J173" t="s">
        <v>48</v>
      </c>
      <c r="K173" t="str">
        <f>PROPER(TRIM(J173))</f>
        <v>Late</v>
      </c>
      <c r="N173" t="str">
        <f t="shared" si="2"/>
        <v>Unique</v>
      </c>
    </row>
    <row r="174" spans="1:14" x14ac:dyDescent="0.35">
      <c r="A174" t="s">
        <v>241</v>
      </c>
      <c r="B174" t="s">
        <v>10</v>
      </c>
      <c r="C174" t="s">
        <v>11</v>
      </c>
      <c r="D174" t="str">
        <f>PROPER(TRIM(C174))</f>
        <v>Kirana Dewi</v>
      </c>
      <c r="E174" t="s">
        <v>12</v>
      </c>
      <c r="F174" t="str">
        <f>IF(TRIM(E174)="","",IF(UPPER(TRIM(E174))="IT","IT",IF(UPPER(TRIM(E174))="HR","HR",PROPER(TRIM(E174)))))</f>
        <v>Operations</v>
      </c>
      <c r="G174" s="2">
        <v>46288</v>
      </c>
      <c r="H174" s="3">
        <v>46288.340277777781</v>
      </c>
      <c r="I174" s="3">
        <v>46288.675000000003</v>
      </c>
      <c r="J174" t="s">
        <v>48</v>
      </c>
      <c r="K174" t="str">
        <f>PROPER(TRIM(J174))</f>
        <v>Late</v>
      </c>
      <c r="N174" t="str">
        <f t="shared" si="2"/>
        <v>Unique</v>
      </c>
    </row>
    <row r="175" spans="1:14" x14ac:dyDescent="0.35">
      <c r="A175" t="s">
        <v>242</v>
      </c>
      <c r="B175" t="s">
        <v>31</v>
      </c>
      <c r="C175" t="s">
        <v>32</v>
      </c>
      <c r="D175" t="str">
        <f>PROPER(TRIM(C175))</f>
        <v>Dimas Saputra</v>
      </c>
      <c r="E175" t="s">
        <v>33</v>
      </c>
      <c r="F175" t="str">
        <f>IF(TRIM(E175)="","",IF(UPPER(TRIM(E175))="IT","IT",IF(UPPER(TRIM(E175))="HR","HR",PROPER(TRIM(E175)))))</f>
        <v>IT</v>
      </c>
      <c r="G175" s="2">
        <v>46279</v>
      </c>
      <c r="J175" t="s">
        <v>54</v>
      </c>
      <c r="K175" t="str">
        <f>PROPER(TRIM(J175))</f>
        <v>Leave</v>
      </c>
      <c r="N175" t="str">
        <f t="shared" si="2"/>
        <v>Unique</v>
      </c>
    </row>
    <row r="176" spans="1:14" x14ac:dyDescent="0.35">
      <c r="A176" t="s">
        <v>243</v>
      </c>
      <c r="B176" t="s">
        <v>64</v>
      </c>
      <c r="C176" t="s">
        <v>65</v>
      </c>
      <c r="D176" t="str">
        <f>PROPER(TRIM(C176))</f>
        <v>Eka Wulandari</v>
      </c>
      <c r="E176" t="s">
        <v>62</v>
      </c>
      <c r="F176" t="str">
        <f>IF(TRIM(E176)="","",IF(UPPER(TRIM(E176))="IT","IT",IF(UPPER(TRIM(E176))="HR","HR",PROPER(TRIM(E176)))))</f>
        <v>Sales</v>
      </c>
      <c r="G176" s="2">
        <v>46287</v>
      </c>
      <c r="J176" t="s">
        <v>28</v>
      </c>
      <c r="K176" t="str">
        <f>PROPER(TRIM(J176))</f>
        <v>Absent</v>
      </c>
      <c r="N176" t="str">
        <f t="shared" si="2"/>
        <v>Unique</v>
      </c>
    </row>
    <row r="177" spans="1:14" x14ac:dyDescent="0.35">
      <c r="A177" t="s">
        <v>244</v>
      </c>
      <c r="B177" t="s">
        <v>72</v>
      </c>
      <c r="C177" t="s">
        <v>73</v>
      </c>
      <c r="D177" t="str">
        <f>PROPER(TRIM(C177))</f>
        <v>Hadi Wijaya</v>
      </c>
      <c r="E177" t="s">
        <v>33</v>
      </c>
      <c r="F177" t="str">
        <f>IF(TRIM(E177)="","",IF(UPPER(TRIM(E177))="IT","IT",IF(UPPER(TRIM(E177))="HR","HR",PROPER(TRIM(E177)))))</f>
        <v>IT</v>
      </c>
      <c r="G177" s="2">
        <v>46283</v>
      </c>
      <c r="J177" t="s">
        <v>28</v>
      </c>
      <c r="K177" t="str">
        <f>PROPER(TRIM(J177))</f>
        <v>Absent</v>
      </c>
      <c r="N177" t="str">
        <f t="shared" si="2"/>
        <v>Unique</v>
      </c>
    </row>
    <row r="178" spans="1:14" x14ac:dyDescent="0.35">
      <c r="A178" t="s">
        <v>245</v>
      </c>
      <c r="B178" t="s">
        <v>19</v>
      </c>
      <c r="C178" t="s">
        <v>20</v>
      </c>
      <c r="D178" t="str">
        <f>PROPER(TRIM(C178))</f>
        <v>Gita Maharani</v>
      </c>
      <c r="E178" t="s">
        <v>21</v>
      </c>
      <c r="F178" t="str">
        <f>IF(TRIM(E178)="","",IF(UPPER(TRIM(E178))="IT","IT",IF(UPPER(TRIM(E178))="HR","HR",PROPER(TRIM(E178)))))</f>
        <v>Finance</v>
      </c>
      <c r="G178" s="2">
        <v>46289</v>
      </c>
      <c r="J178" t="s">
        <v>28</v>
      </c>
      <c r="K178" t="str">
        <f>PROPER(TRIM(J178))</f>
        <v>Absent</v>
      </c>
      <c r="N178" t="str">
        <f t="shared" si="2"/>
        <v>Unique</v>
      </c>
    </row>
    <row r="179" spans="1:14" x14ac:dyDescent="0.35">
      <c r="A179" t="s">
        <v>246</v>
      </c>
      <c r="B179" t="s">
        <v>42</v>
      </c>
      <c r="C179" t="s">
        <v>43</v>
      </c>
      <c r="D179" t="str">
        <f>PROPER(TRIM(C179))</f>
        <v>Farhan Akbar</v>
      </c>
      <c r="E179" t="s">
        <v>12</v>
      </c>
      <c r="F179" t="str">
        <f>IF(TRIM(E179)="","",IF(UPPER(TRIM(E179))="IT","IT",IF(UPPER(TRIM(E179))="HR","HR",PROPER(TRIM(E179)))))</f>
        <v>Operations</v>
      </c>
      <c r="G179" s="2">
        <v>46288</v>
      </c>
      <c r="H179" s="3">
        <v>46288.350694444453</v>
      </c>
      <c r="I179" s="3">
        <v>46288.689583333333</v>
      </c>
      <c r="J179" t="s">
        <v>48</v>
      </c>
      <c r="K179" t="str">
        <f>PROPER(TRIM(J179))</f>
        <v>Late</v>
      </c>
      <c r="N179" t="str">
        <f t="shared" si="2"/>
        <v>Unique</v>
      </c>
    </row>
    <row r="180" spans="1:14" x14ac:dyDescent="0.35">
      <c r="A180" t="s">
        <v>247</v>
      </c>
      <c r="B180" t="s">
        <v>46</v>
      </c>
      <c r="C180" t="s">
        <v>47</v>
      </c>
      <c r="D180" t="str">
        <f>PROPER(TRIM(C180))</f>
        <v>Bima Pratama</v>
      </c>
      <c r="E180" t="s">
        <v>83</v>
      </c>
      <c r="F180" t="str">
        <f>IF(TRIM(E180)="","",IF(UPPER(TRIM(E180))="IT","IT",IF(UPPER(TRIM(E180))="HR","HR",PROPER(TRIM(E180)))))</f>
        <v>Operations</v>
      </c>
      <c r="G180" s="2">
        <v>46289</v>
      </c>
      <c r="H180" s="3">
        <v>46289.336805555547</v>
      </c>
      <c r="I180" s="3">
        <v>46289.675000000003</v>
      </c>
      <c r="J180" t="s">
        <v>13</v>
      </c>
      <c r="K180" t="str">
        <f>PROPER(TRIM(J180))</f>
        <v>Present</v>
      </c>
      <c r="N180" t="str">
        <f t="shared" si="2"/>
        <v>Unique</v>
      </c>
    </row>
    <row r="181" spans="1:14" x14ac:dyDescent="0.35">
      <c r="A181" t="s">
        <v>248</v>
      </c>
      <c r="B181" t="s">
        <v>23</v>
      </c>
      <c r="C181" t="s">
        <v>24</v>
      </c>
      <c r="D181" t="str">
        <f>PROPER(TRIM(C181))</f>
        <v>Intan Permata</v>
      </c>
      <c r="E181" t="s">
        <v>62</v>
      </c>
      <c r="F181" t="str">
        <f>IF(TRIM(E181)="","",IF(UPPER(TRIM(E181))="IT","IT",IF(UPPER(TRIM(E181))="HR","HR",PROPER(TRIM(E181)))))</f>
        <v>Sales</v>
      </c>
      <c r="G181" s="2">
        <v>46290</v>
      </c>
      <c r="J181" t="s">
        <v>54</v>
      </c>
      <c r="K181" t="str">
        <f>PROPER(TRIM(J181))</f>
        <v>Leave</v>
      </c>
      <c r="N181" t="str">
        <f t="shared" si="2"/>
        <v>Unique</v>
      </c>
    </row>
    <row r="182" spans="1:14" x14ac:dyDescent="0.35">
      <c r="A182" t="s">
        <v>130</v>
      </c>
      <c r="B182" t="s">
        <v>31</v>
      </c>
      <c r="C182" t="s">
        <v>32</v>
      </c>
      <c r="D182" t="str">
        <f>PROPER(TRIM(C182))</f>
        <v>Dimas Saputra</v>
      </c>
      <c r="E182" t="s">
        <v>33</v>
      </c>
      <c r="F182" t="str">
        <f>IF(TRIM(E182)="","",IF(UPPER(TRIM(E182))="IT","IT",IF(UPPER(TRIM(E182))="HR","HR",PROPER(TRIM(E182)))))</f>
        <v>IT</v>
      </c>
      <c r="G182" s="2">
        <v>46274</v>
      </c>
      <c r="H182" s="3">
        <v>46274.350694444453</v>
      </c>
      <c r="I182" s="3">
        <v>46274.693749999999</v>
      </c>
      <c r="J182" t="s">
        <v>48</v>
      </c>
      <c r="K182" t="str">
        <f>PROPER(TRIM(J182))</f>
        <v>Late</v>
      </c>
      <c r="N182" t="str">
        <f t="shared" si="2"/>
        <v>Check Duplicate</v>
      </c>
    </row>
    <row r="183" spans="1:14" x14ac:dyDescent="0.35">
      <c r="A183" t="s">
        <v>9</v>
      </c>
      <c r="B183" t="s">
        <v>10</v>
      </c>
      <c r="C183" t="s">
        <v>11</v>
      </c>
      <c r="D183" t="str">
        <f>PROPER(TRIM(C183))</f>
        <v>Kirana Dewi</v>
      </c>
      <c r="E183" t="s">
        <v>12</v>
      </c>
      <c r="F183" t="str">
        <f>IF(TRIM(E183)="","",IF(UPPER(TRIM(E183))="IT","IT",IF(UPPER(TRIM(E183))="HR","HR",PROPER(TRIM(E183)))))</f>
        <v>Operations</v>
      </c>
      <c r="G183" s="2">
        <v>46269</v>
      </c>
      <c r="H183" s="3">
        <v>46269.336805555547</v>
      </c>
      <c r="I183" s="3">
        <v>46269.680555555547</v>
      </c>
      <c r="J183" t="s">
        <v>13</v>
      </c>
      <c r="K183" t="str">
        <f>PROPER(TRIM(J183))</f>
        <v>Present</v>
      </c>
      <c r="N183" t="str">
        <f t="shared" si="2"/>
        <v>Check Duplicate</v>
      </c>
    </row>
    <row r="184" spans="1:14" x14ac:dyDescent="0.35">
      <c r="A184" t="s">
        <v>179</v>
      </c>
      <c r="B184" t="s">
        <v>23</v>
      </c>
      <c r="C184" t="s">
        <v>24</v>
      </c>
      <c r="D184" t="str">
        <f>PROPER(TRIM(C184))</f>
        <v>Intan Permata</v>
      </c>
      <c r="E184" t="s">
        <v>62</v>
      </c>
      <c r="F184" t="str">
        <f>IF(TRIM(E184)="","",IF(UPPER(TRIM(E184))="IT","IT",IF(UPPER(TRIM(E184))="HR","HR",PROPER(TRIM(E184)))))</f>
        <v>Sales</v>
      </c>
      <c r="G184" s="2">
        <v>46281</v>
      </c>
      <c r="J184" t="s">
        <v>37</v>
      </c>
      <c r="K184" t="str">
        <f>PROPER(TRIM(J184))</f>
        <v>Sick</v>
      </c>
      <c r="L184" t="s">
        <v>66</v>
      </c>
      <c r="N184" t="str">
        <f t="shared" si="2"/>
        <v>Check Duplicate</v>
      </c>
    </row>
    <row r="185" spans="1:14" x14ac:dyDescent="0.35">
      <c r="A185" t="s">
        <v>88</v>
      </c>
      <c r="B185" t="s">
        <v>23</v>
      </c>
      <c r="C185" t="s">
        <v>24</v>
      </c>
      <c r="D185" t="str">
        <f>PROPER(TRIM(C185))</f>
        <v>Intan Permata</v>
      </c>
      <c r="E185" t="s">
        <v>62</v>
      </c>
      <c r="F185" t="str">
        <f>IF(TRIM(E185)="","",IF(UPPER(TRIM(E185))="IT","IT",IF(UPPER(TRIM(E185))="HR","HR",PROPER(TRIM(E185)))))</f>
        <v>Sales</v>
      </c>
      <c r="G185" s="2">
        <v>46295</v>
      </c>
      <c r="H185" s="3">
        <v>46295.34375</v>
      </c>
      <c r="I185" s="3">
        <v>46295.690972222219</v>
      </c>
      <c r="J185" t="s">
        <v>13</v>
      </c>
      <c r="K185" t="str">
        <f>PROPER(TRIM(J185))</f>
        <v>Present</v>
      </c>
      <c r="N185" t="str">
        <f t="shared" si="2"/>
        <v>Check Duplicate</v>
      </c>
    </row>
  </sheetData>
  <autoFilter ref="N1:N18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Sheet2</vt:lpstr>
      <vt:lpstr>Sheet3</vt:lpstr>
      <vt:lpstr>Sheet4</vt:lpstr>
      <vt:lpstr>Dahboard</vt:lpstr>
      <vt:lpstr>Raw Data (2)</vt:lpstr>
      <vt:lpstr>Tugas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TISSA FARADILA PERMATA SARI</cp:lastModifiedBy>
  <dcterms:created xsi:type="dcterms:W3CDTF">2026-10-29T08:09:20Z</dcterms:created>
  <dcterms:modified xsi:type="dcterms:W3CDTF">2026-10-29T17:52:07Z</dcterms:modified>
</cp:coreProperties>
</file>